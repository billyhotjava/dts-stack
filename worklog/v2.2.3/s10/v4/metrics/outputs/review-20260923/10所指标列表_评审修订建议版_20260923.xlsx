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0639f4288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结论" sheetId="1" r:id="Rde4a2c5c83874eb8"/>
    <x:sheet xmlns:r="http://schemas.openxmlformats.org/officeDocument/2006/relationships" name="建议指标清单" sheetId="2" r:id="Rf83e835647e044f2"/>
    <x:sheet xmlns:r="http://schemas.openxmlformats.org/officeDocument/2006/relationships" name="原项逐条评审" sheetId="3" r:id="R21b2aa0bf87148f2"/>
    <x:sheet xmlns:r="http://schemas.openxmlformats.org/officeDocument/2006/relationships" name="参考表评审" sheetId="4" r:id="Rc45f913681e2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203864"/>
      <x:name val="Arial"/>
    </x:font>
    <x:font>
      <x:sz val="11"/>
      <x:color rgb="FF243449"/>
      <x:name val="Arial"/>
    </x:font>
    <x:font>
      <x:b/>
      <x:sz val="11"/>
      <x:color rgb="FFFFFFFF"/>
      <x:name val="Arial"/>
    </x:font>
    <x:font>
      <x:b/>
      <x:sz val="14"/>
      <x:color rgb="FF203864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1F5F9"/>
      </x:patternFill>
    </x:fill>
    <x:fill>
      <x:patternFill patternType="solid">
        <x:fgColor rgb="FFFFF2CC"/>
      </x:patternFill>
    </x:fill>
    <x:fill>
      <x:patternFill patternType="solid">
        <x:fgColor rgb="FFDFE7F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2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318d22acb4d50" /><Relationship Type="http://schemas.openxmlformats.org/officeDocument/2006/relationships/theme" Target="/xl/theme/theme1.xml" Id="R76d908d3cdf646a8" /><Relationship Type="http://schemas.openxmlformats.org/officeDocument/2006/relationships/sharedStrings" Target="/xl/sharedStrings.xml" Id="Rd953d940cab94313" /><Relationship Type="http://schemas.openxmlformats.org/officeDocument/2006/relationships/worksheet" Target="/xl/worksheets/sheet1.xml" Id="Rde4a2c5c83874eb8" /><Relationship Type="http://schemas.openxmlformats.org/officeDocument/2006/relationships/worksheet" Target="/xl/worksheets/sheet2.xml" Id="Rf83e835647e044f2" /><Relationship Type="http://schemas.openxmlformats.org/officeDocument/2006/relationships/worksheet" Target="/xl/worksheets/sheet3.xml" Id="R21b2aa0bf87148f2" /><Relationship Type="http://schemas.openxmlformats.org/officeDocument/2006/relationships/worksheet" Target="/xl/worksheets/sheet4.xml" Id="Rc45f913681e241a4" /></Relationships>
</file>

<file path=xl/tables/table1.xml><?xml version="1.0" encoding="utf-8"?>
<x:table xmlns:x="http://schemas.openxmlformats.org/spreadsheetml/2006/main" id="1" name="T1" displayName="T1" ref="A4:C20" headerRowCount="1" totalsRowCount="0" totalsRowShown="0">
  <x:tableColumns count="3">
    <x:tableColumn id="1" name="主题"/>
    <x:tableColumn id="2" name="建议"/>
    <x:tableColumn id="3" name="适用边界与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4:Q74" headerRowCount="1" totalsRowCount="0" totalsRowShown="0">
  <x:tableColumns count="17">
    <x:tableColumn id="1" name="指标编码"/>
    <x:tableColumn id="2" name="业务主题"/>
    <x:tableColumn id="3" name="建议指标名称"/>
    <x:tableColumn id="4" name="建议阶段"/>
    <x:tableColumn id="5" name="驾驶舱"/>
    <x:tableColumn id="6" name="单位"/>
    <x:tableColumn id="7" name="定义与计算口径（文字）"/>
    <x:tableColumn id="8" name="统计粒度与时间口径"/>
    <x:tableColumn id="9" name="更新频率建议"/>
    <x:tableColumn id="10" name="候选数据来源及必需字段"/>
    <x:tableColumn id="11" name="建议归口部门"/>
    <x:tableColumn id="12" name="修订理由及特殊规则"/>
    <x:tableColumn id="13" name="查看与输出控制建议"/>
    <x:tableColumn id="14" name="来源类型"/>
    <x:tableColumn id="15" name="原表对应位置"/>
    <x:tableColumn id="16" name="确认状态"/>
    <x:tableColumn id="17" name="责任人确认意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4:N88" headerRowCount="1" totalsRowCount="0" totalsRowShown="0">
  <x:tableColumns count="14">
    <x:tableColumn id="1" name="原工作表"/>
    <x:tableColumn id="2" name="Excel行号"/>
    <x:tableColumn id="3" name="原序号"/>
    <x:tableColumn id="4" name="原指标名称"/>
    <x:tableColumn id="5" name="原指标定义"/>
    <x:tableColumn id="6" name="原计算公式"/>
    <x:tableColumn id="7" name="原统计维度"/>
    <x:tableColumn id="8" name="原更新频率"/>
    <x:tableColumn id="9" name="原所需数据项"/>
    <x:tableColumn id="10" name="原数据来源"/>
    <x:tableColumn id="11" name="处置建议"/>
    <x:tableColumn id="12" name="建议指标编码"/>
    <x:tableColumn id="13" name="建议名称"/>
    <x:tableColumn id="14" name="具体评审意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4:E18" headerRowCount="1" totalsRowCount="0" totalsRowShown="0">
  <x:tableColumns count="5">
    <x:tableColumn id="1" name="编号"/>
    <x:tableColumn id="2" name="来源文件/公开资料"/>
    <x:tableColumn id="3" name="定位/链接"/>
    <x:tableColumn id="4" name="发现与用途"/>
    <x:tableColumn id="5" name="处理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4f8213a2d44b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a99e6bdbb84c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158b8560294f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cdc67480dc44e5f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6" hidden="0" customWidth="1"/>
    <x:col min="3" max="3" width="66" hidden="0" customWidth="1"/>
  </x:cols>
  <x:sheetData>
    <x:row r="2">
      <x:c r="A2" s="10" t="str">
        <x:v>10所指标体系评审 · 讨论稿 v0.1 / 2026-09-23</x:v>
      </x:c>
    </x:row>
    <x:row r="4" ht="32" customHeight="1">
      <x:c r="A4" s="8" t="str">
        <x:v>主题</x:v>
      </x:c>
      <x:c r="B4" s="8" t="str">
        <x:v>建议</x:v>
      </x:c>
      <x:c r="C4" s="8" t="str">
        <x:v>适用边界与依据</x:v>
      </x:c>
    </x:row>
    <x:row r="5" ht="42" customHeight="1">
      <x:c r="A5" s="4" t="str">
        <x:v>范围与结论</x:v>
      </x:c>
      <x:c r="B5" s="4" t="str">
        <x:v>原表84条记录、53个不同名称，存在同名复用及异名同义。可作需求草案，尚不足以直接作为统一考核或自动计算口径。</x:v>
      </x:c>
      <x:c r="C5" s="4" t="str">
        <x:v>原表6个工作表；仅评审指标定义，不评估真实绩效。</x:v>
      </x:c>
    </x:row>
    <x:row r="6" ht="42" customHeight="1">
      <x:c r="A6" s="9" t="str">
        <x:v>适用背景</x:v>
      </x:c>
      <x:c r="B6" s="9" t="str">
        <x:v>按承担科研、试制及部分生产任务且有保密要求的单位设计；实际组织性质、业务类型和保密范围未提供。</x:v>
      </x:c>
      <x:c r="C6" s="9" t="str">
        <x:v>科研、试制、批产分别比较；单位会计制度由财务确认。</x:v>
      </x:c>
    </x:row>
    <x:row r="7" ht="42" customHeight="1">
      <x:c r="A7" s="4" t="str">
        <x:v>推荐顺序</x:v>
      </x:c>
      <x:c r="B7" s="4" t="str">
        <x:v>一期候选先核对项目、采购、库存、预算和数据可信；二期补质量、人才与保密台账；条件指标满足适用性后启用。</x:v>
      </x:c>
      <x:c r="C7" s="4" t="str">
        <x:v>阶段为建议排序，非数据已就绪或实施承诺。</x:v>
      </x:c>
    </x:row>
    <x:row r="8" ht="42" customHeight="1">
      <x:c r="A8" s="9" t="str">
        <x:v>原表重复</x:v>
      </x:c>
      <x:c r="B8" s="9" t="str">
        <x:v>驾驶舱31条应引用专题统一编码；项目生命周期第8与13行均为文档齐备率。平均执行周期与项目平均执行周期同义。</x:v>
      </x:c>
      <x:c r="C8" s="9" t="str">
        <x:v>单位产出成本与单位制造成本归并为同类产品成本。</x:v>
      </x:c>
    </x:row>
    <x:row r="9" ht="42" customHeight="1">
      <x:c r="A9" s="4" t="str">
        <x:v>到期集合</x:v>
      </x:c>
      <x:c r="B9" s="4" t="str">
        <x:v>结题、里程碑、交付、整改率的分母统一为本期应完成集合；未完成且到期的对象仍在分母。</x:v>
      </x:c>
      <x:c r="C9" s="4" t="str">
        <x:v>保留期前积压快照；不只统计已完成对象。</x:v>
      </x:c>
    </x:row>
    <x:row r="10" ht="42" customHeight="1">
      <x:c r="A10" s="9" t="str">
        <x:v>基线防漂移</x:v>
      </x:c>
      <x:c r="B10" s="9" t="str">
        <x:v>原计划、批准调整计划与实际日期均留存；正式指标使用冻结的批准基线，并披露调整次数和影响。</x:v>
      </x:c>
      <x:c r="C10" s="9" t="str">
        <x:v>禁止事后改计划掩盖延期；取消需批准记录及生效日期。</x:v>
      </x:c>
    </x:row>
    <x:row r="11" ht="42" customHeight="1">
      <x:c r="A11" s="4" t="str">
        <x:v>科研评价</x:v>
      </x:c>
      <x:c r="B11" s="4" t="str">
        <x:v>专利与论文拆开；用验收通过的代表性成果及任务履约观察贡献，不以公开论文或人均数量单独排名。</x:v>
      </x:c>
      <x:c r="C11" s="4" t="str">
        <x:v>参考财政部科研绩效文件的代表性成果导向，非本单位考核制度认定。</x:v>
      </x:c>
    </x:row>
    <x:row r="12" ht="42" customHeight="1">
      <x:c r="A12" s="9" t="str">
        <x:v>经济性适用</x:v>
      </x:c>
      <x:c r="B12" s="9" t="str">
        <x:v>净结余不能自动等于净利润；科研设备不宜直接套固定资产ROI；培训效益缺归因时改看能力认证。</x:v>
      </x:c>
      <x:c r="C12" s="9" t="str">
        <x:v>三公、利润率、期间费用率先确认制度与范围。</x:v>
      </x:c>
    </x:row>
    <x:row r="13" ht="42" customHeight="1">
      <x:c r="A13" s="4" t="str">
        <x:v>物料保障</x:v>
      </x:c>
      <x:c r="B13" s="4" t="str">
        <x:v>库存既要压降无效占用，也要保障专用备件和长周期物料；战略储备单列，未经评审不认定呆滞。</x:v>
      </x:c>
      <x:c r="C13" s="4" t="str">
        <x:v>批次、效期、质量冻结状态及项目可用范围共同决定可用量。</x:v>
      </x:c>
    </x:row>
    <x:row r="14" ht="42" customHeight="1">
      <x:c r="A14" s="9" t="str">
        <x:v>质量与履约</x:v>
      </x:c>
      <x:c r="B14" s="9" t="str">
        <x:v>补充质量问题按期验证关闭、重大逾期问题、交付追溯资料、设计更改执行。</x:v>
      </x:c>
      <x:c r="C14" s="9" t="str">
        <x:v>普通问题关闭率不得掩盖重大问题；到货不等于验收合格。</x:v>
      </x:c>
    </x:row>
    <x:row r="15" ht="42" customHeight="1">
      <x:c r="A15" s="4" t="str">
        <x:v>保密控制</x:v>
      </x:c>
      <x:c r="B15" s="4" t="str">
        <x:v>建议按人员角色、项目知悉范围及经批准的数据分类控制查看、下钻、导出与共享；涉密与非涉密环境按单位要求隔离。</x:v>
      </x:c>
      <x:c r="C15" s="4" t="str">
        <x:v>实际密级、范围由有权部门确定；汇总或去标识不自动等于可公开。</x:v>
      </x:c>
    </x:row>
    <x:row r="16" ht="42" customHeight="1">
      <x:c r="A16" s="9" t="str">
        <x:v>聚合推断风险</x:v>
      </x:c>
      <x:c r="B16" s="9" t="str">
        <x:v>项目进度、经费、采购和人员关联后可能暴露敏感能力；小样本、交叉筛选、汇总差分需专门审查。</x:v>
      </x:c>
      <x:c r="C16" s="9" t="str">
        <x:v>不设通用最小样本数；由保密部门批准抑制、汇总层级及输出范围。</x:v>
      </x:c>
    </x:row>
    <x:row r="17" ht="42" customHeight="1">
      <x:c r="A17" s="4" t="str">
        <x:v>阈值与评分</x:v>
      </x:c>
      <x:c r="B17" s="4" t="str">
        <x:v>不预填行业通用目标、权重、红黄线；先确认合同约定/制度门槛，再用同类历史基线校准。</x:v>
      </x:c>
      <x:c r="C17" s="4" t="str">
        <x:v>数据缺失不填0；无适用分母显示不适用；质量与保密条件独立呈现。</x:v>
      </x:c>
    </x:row>
    <x:row r="18" ht="42" customHeight="1">
      <x:c r="A18" s="9" t="str">
        <x:v>数据来源边界</x:v>
      </x:c>
      <x:c r="B18" s="9" t="str">
        <x:v>原表系统名称均为需求描述；参考问题单记录库存余额来源、经费数据和项目树待确认。</x:v>
      </x:c>
      <x:c r="C18" s="9" t="str">
        <x:v>2026-01-14的问题状态仅为历史证据，不推定当前仍未解决。</x:v>
      </x:c>
    </x:row>
    <x:row r="19" ht="42" customHeight="1">
      <x:c r="A19" s="4" t="str">
        <x:v>统一计算规则</x:v>
      </x:c>
      <x:c r="B19" s="4" t="str">
        <x:v>金额按统一币种、税口径与会计期间；流量跨期可加，期末存量不可加，百分比按分子分母重新汇总。</x:v>
      </x:c>
      <x:c r="C19" s="4" t="str">
        <x:v>分母为0标不适用；缺字段标不可计算；只有完整范围内确无事件才填0。</x:v>
      </x:c>
    </x:row>
    <x:row r="20" ht="42" customHeight="1">
      <x:c r="A20" s="9" t="str">
        <x:v>责任确认</x:v>
      </x:c>
      <x:c r="B20" s="9" t="str">
        <x:v>建议归口部门为职能角色，并非对现有组织架构的认定；每项需业务、数据责任人确认。</x:v>
      </x:c>
      <x:c r="C20" s="9" t="str">
        <x:v>指标定义版本建议为讨论稿v0.1；所有目标与正式启用均待审定。</x:v>
      </x:c>
    </x:row>
    <x:row r="23" ht="26" customHeight="1">
      <x:c r="A23" s="13" t="str">
        <x:v>清单规模</x:v>
      </x:c>
      <x:c r="B23" s="13" t="str">
        <x:v>条目数</x:v>
      </x:c>
      <x:c r="C23" s="13" t="str">
        <x:v>说明</x:v>
      </x:c>
    </x:row>
    <x:row r="24" ht="26" customHeight="1">
      <x:c r="A24" s="12" t="str">
        <x:v>原始记录</x:v>
      </x:c>
      <x:c r="B24" s="12" t="n">
        <x:f>COUNTA('原项逐条评审'!D5:D88)</x:f>
        <x:v>84</x:v>
      </x:c>
      <x:c r="C24" s="12" t="str">
        <x:v>含驾驶舱与专题重复项</x:v>
      </x:c>
    </x:row>
    <x:row r="25" ht="26" customHeight="1">
      <x:c r="A25" s="12" t="str">
        <x:v>建议指标</x:v>
      </x:c>
      <x:c r="B25" s="12" t="n">
        <x:f>COUNTA('建议指标清单'!A5:A74)</x:f>
        <x:v>70</x:v>
      </x:c>
      <x:c r="C25" s="12" t="str">
        <x:v>统一编码；不代表全部纳入考核</x:v>
      </x:c>
    </x:row>
    <x:row r="26" ht="26" customHeight="1">
      <x:c r="A26" s="12" t="str">
        <x:v>一期候选</x:v>
      </x:c>
      <x:c r="B26" s="12" t="n">
        <x:f>COUNTIFS('建议指标清单'!D5:D74,"一期候选")</x:f>
        <x:v>19</x:v>
      </x:c>
      <x:c r="C26" s="12" t="str">
        <x:v>通过数据验源后优先实施</x:v>
      </x:c>
    </x:row>
    <x:row r="27" ht="26" customHeight="1">
      <x:c r="A27" s="12" t="str">
        <x:v>新增补充</x:v>
      </x:c>
      <x:c r="B27" s="12" t="n">
        <x:f>COUNTIFS('建议指标清单'!N5:N74,"补充建议")</x:f>
        <x:v>18</x:v>
      </x:c>
      <x:c r="C27" s="12" t="str">
        <x:v>参考表及场景补充，均为建议</x:v>
      </x:c>
    </x:row>
  </x:sheetData>
  <x:pageMargins left="0.7" right="0.7" top="0.75" bottom="0.75" header="0.3" footer="0.3"/>
  <x:tableParts count="1">
    <x:tablePart xmlns:r="http://schemas.openxmlformats.org/officeDocument/2006/relationships" r:id="R334f8213a2d44b1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8" hidden="0" customWidth="1"/>
    <x:col min="5" max="5" width="12" hidden="0" customWidth="1"/>
    <x:col min="6" max="6" width="14" hidden="0" customWidth="1"/>
    <x:col min="7" max="7" width="70" hidden="0" customWidth="1"/>
    <x:col min="8" max="8" width="44" hidden="0" customWidth="1"/>
    <x:col min="9" max="9" width="22" hidden="0" customWidth="1"/>
    <x:col min="10" max="10" width="60" hidden="0" customWidth="1"/>
    <x:col min="11" max="11" width="25" hidden="0" customWidth="1"/>
    <x:col min="12" max="12" width="70" hidden="0" customWidth="1"/>
    <x:col min="13" max="13" width="48" hidden="0" customWidth="1"/>
    <x:col min="14" max="14" width="18" hidden="0" customWidth="1"/>
    <x:col min="15" max="15" width="55" hidden="0" customWidth="1"/>
    <x:col min="16" max="16" width="28" hidden="0" customWidth="1"/>
    <x:col min="17" max="17" width="48" hidden="0" customWidth="1"/>
  </x:cols>
  <x:sheetData>
    <x:row r="2">
      <x:c r="A2" s="1" t="str">
        <x:v>建议指标清单 · 编码统一复用；筛选“驾驶舱”选择展示项</x:v>
      </x:c>
    </x:row>
    <x:row r="4" ht="32" customHeight="1">
      <x:c r="A4" s="8" t="str">
        <x:v>指标编码</x:v>
      </x:c>
      <x:c r="B4" s="8" t="str">
        <x:v>业务主题</x:v>
      </x:c>
      <x:c r="C4" s="8" t="str">
        <x:v>建议指标名称</x:v>
      </x:c>
      <x:c r="D4" s="8" t="str">
        <x:v>建议阶段</x:v>
      </x:c>
      <x:c r="E4" s="8" t="str">
        <x:v>驾驶舱</x:v>
      </x:c>
      <x:c r="F4" s="8" t="str">
        <x:v>单位</x:v>
      </x:c>
      <x:c r="G4" s="8" t="str">
        <x:v>定义与计算口径（文字）</x:v>
      </x:c>
      <x:c r="H4" s="8" t="str">
        <x:v>统计粒度与时间口径</x:v>
      </x:c>
      <x:c r="I4" s="8" t="str">
        <x:v>更新频率建议</x:v>
      </x:c>
      <x:c r="J4" s="8" t="str">
        <x:v>候选数据来源及必需字段</x:v>
      </x:c>
      <x:c r="K4" s="8" t="str">
        <x:v>建议归口部门</x:v>
      </x:c>
      <x:c r="L4" s="8" t="str">
        <x:v>修订理由及特殊规则</x:v>
      </x:c>
      <x:c r="M4" s="8" t="str">
        <x:v>查看与输出控制建议</x:v>
      </x:c>
      <x:c r="N4" s="8" t="str">
        <x:v>来源类型</x:v>
      </x:c>
      <x:c r="O4" s="8" t="str">
        <x:v>原表对应位置</x:v>
      </x:c>
      <x:c r="P4" s="8" t="str">
        <x:v>确认状态</x:v>
      </x:c>
      <x:c r="Q4" s="8" t="str">
        <x:v>责任人确认意见</x:v>
      </x:c>
    </x:row>
    <x:row r="5" ht="42" customHeight="1">
      <x:c r="A5" s="4" t="str">
        <x:v>PRJ01</x:v>
      </x:c>
      <x:c r="B5" s="4" t="str">
        <x:v>项目履约</x:v>
      </x:c>
      <x:c r="C5" s="4" t="str">
        <x:v>批准立项项目数</x:v>
      </x:c>
      <x:c r="D5" s="4" t="str">
        <x:v>一期候选</x:v>
      </x:c>
      <x:c r="E5" s="4" t="str">
        <x:v>否</x:v>
      </x:c>
      <x:c r="F5" s="4" t="str">
        <x:v>项</x:v>
      </x:c>
      <x:c r="G5" s="4" t="str">
        <x:v>按正式立项批准日期落在统计期的项目ID去重计数</x:v>
      </x:c>
      <x:c r="H5" s="4" t="str">
        <x:v>期间流量；项目类型、责任部门</x:v>
      </x:c>
      <x:c r="I5" s="4" t="str">
        <x:v>月；按业务时效可日刷新</x:v>
      </x:c>
      <x:c r="J5" s="4" t="str">
        <x:v>项目系统：项目ID、批准日期、状态、父项目ID</x:v>
      </x:c>
      <x:c r="K5" s="4" t="str">
        <x:v>科研计划部门</x:v>
      </x:c>
      <x:c r="L5" s="4" t="str">
        <x:v>系统新建时间不能替代批准立项时间；父子项目选择同一层级</x:v>
      </x:c>
      <x:c r="M5" s="4" t="str">
        <x:v>按项目知悉范围/部门授权；汇总、下钻、导出均需审查</x:v>
      </x:c>
      <x:c r="N5" s="4" t="str">
        <x:v>原表修订</x:v>
      </x:c>
      <x:c r="O5" s="4" t="str">
        <x:v>驾驶舱!B2；项目生命周期!B2</x:v>
      </x:c>
      <x:c r="P5" s="11" t="str">
        <x:v>待业务与数据责任人确认</x:v>
      </x:c>
      <x:c r="Q5" s="11" t="str">
        <x:v>待确认：适用性、字段、口径版本、目标与授权范围</x:v>
      </x:c>
    </x:row>
    <x:row r="6" ht="42" customHeight="1">
      <x:c r="A6" s="9" t="str">
        <x:v>PRJ02</x:v>
      </x:c>
      <x:c r="B6" s="9" t="str">
        <x:v>项目履约</x:v>
      </x:c>
      <x:c r="C6" s="9" t="str">
        <x:v>到期项目按期结题率</x:v>
      </x:c>
      <x:c r="D6" s="9" t="str">
        <x:v>一期候选</x:v>
      </x:c>
      <x:c r="E6" s="9" t="str">
        <x:v>是</x:v>
      </x:c>
      <x:c r="F6" s="9" t="str">
        <x:v>%</x:v>
      </x:c>
      <x:c r="G6" s="9" t="str">
        <x:v>本期应结题且在批准期限内完成验收结题的项目数÷本期应结题项目数×100%</x:v>
      </x:c>
      <x:c r="H6" s="9" t="str">
        <x:v>按基线到期日归期；项目类型、责任部门</x:v>
      </x:c>
      <x:c r="I6" s="9" t="str">
        <x:v>月；按业务时效可日刷新</x:v>
      </x:c>
      <x:c r="J6" s="9" t="str">
        <x:v>项目系统：基线结题日、批准变更、验收结题日、项目ID</x:v>
      </x:c>
      <x:c r="K6" s="9" t="str">
        <x:v>科研计划部门</x:v>
      </x:c>
      <x:c r="L6" s="9" t="str">
        <x:v>替换结题数÷立项数；逾期未结题进入分母；冻结原始及批准调整基线</x:v>
      </x:c>
      <x:c r="M6" s="9" t="str">
        <x:v>按项目知悉范围/部门授权；汇总、下钻、导出均需审查</x:v>
      </x:c>
      <x:c r="N6" s="9" t="str">
        <x:v>原表修订</x:v>
      </x:c>
      <x:c r="O6" s="9" t="str">
        <x:v>驾驶舱!B3；项目生命周期!B3</x:v>
      </x:c>
      <x:c r="P6" s="11" t="str">
        <x:v>待业务与数据责任人确认</x:v>
      </x:c>
      <x:c r="Q6" s="11" t="str">
        <x:v>待确认：适用性、字段、口径版本、目标与授权范围</x:v>
      </x:c>
    </x:row>
    <x:row r="7" ht="42" customHeight="1">
      <x:c r="A7" s="4" t="str">
        <x:v>PRJ03</x:v>
      </x:c>
      <x:c r="B7" s="4" t="str">
        <x:v>项目履约</x:v>
      </x:c>
      <x:c r="C7" s="4" t="str">
        <x:v>到期里程碑按期完成率</x:v>
      </x:c>
      <x:c r="D7" s="4" t="str">
        <x:v>一期候选</x:v>
      </x:c>
      <x:c r="E7" s="4" t="str">
        <x:v>是</x:v>
      </x:c>
      <x:c r="F7" s="4" t="str">
        <x:v>%</x:v>
      </x:c>
      <x:c r="G7" s="4" t="str">
        <x:v>本期应完成且在基线期限内验收通过的里程碑数÷本期应完成里程碑数×100%</x:v>
      </x:c>
      <x:c r="H7" s="4" t="str">
        <x:v>项目×里程碑；按到期日归期</x:v>
      </x:c>
      <x:c r="I7" s="4" t="str">
        <x:v>月；按业务时效可日刷新</x:v>
      </x:c>
      <x:c r="J7" s="4" t="str">
        <x:v>项目系统：节点ID、计划基线、验收完成日、变更记录</x:v>
      </x:c>
      <x:c r="K7" s="4" t="str">
        <x:v>科研计划部门</x:v>
      </x:c>
      <x:c r="L7" s="4" t="str">
        <x:v>未完成到期节点不可遗漏；关键节点单列，不用普通节点稀释</x:v>
      </x:c>
      <x:c r="M7" s="4" t="str">
        <x:v>按项目知悉范围/部门授权；汇总、下钻、导出均需审查</x:v>
      </x:c>
      <x:c r="N7" s="4" t="str">
        <x:v>原表修订</x:v>
      </x:c>
      <x:c r="O7" s="4" t="str">
        <x:v>驾驶舱!B4；项目生命周期!B5</x:v>
      </x:c>
      <x:c r="P7" s="11" t="str">
        <x:v>待业务与数据责任人确认</x:v>
      </x:c>
      <x:c r="Q7" s="11" t="str">
        <x:v>待确认：适用性、字段、口径版本、目标与授权范围</x:v>
      </x:c>
    </x:row>
    <x:row r="8" ht="42" customHeight="1">
      <x:c r="A8" s="9" t="str">
        <x:v>PRJ04</x:v>
      </x:c>
      <x:c r="B8" s="9" t="str">
        <x:v>项目履约</x:v>
      </x:c>
      <x:c r="C8" s="9" t="str">
        <x:v>结题项目平均执行周期</x:v>
      </x:c>
      <x:c r="D8" s="9" t="str">
        <x:v>二期候选</x:v>
      </x:c>
      <x:c r="E8" s="9" t="str">
        <x:v>否</x:v>
      </x:c>
      <x:c r="F8" s="9" t="str">
        <x:v>天</x:v>
      </x:c>
      <x:c r="G8" s="9" t="str">
        <x:v>本期验收结题项目的Σ(结题日期－批准立项日期)÷本期验收结题项目数</x:v>
      </x:c>
      <x:c r="H8" s="9" t="str">
        <x:v>结题 cohort；同项目类型及复杂度比较</x:v>
      </x:c>
      <x:c r="I8" s="9" t="str">
        <x:v>月；按业务时效可日刷新</x:v>
      </x:c>
      <x:c r="J8" s="9" t="str">
        <x:v>项目系统：批准立项日、结题日、项目类型</x:v>
      </x:c>
      <x:c r="K8" s="9" t="str">
        <x:v>科研计划部门</x:v>
      </x:c>
      <x:c r="L8" s="9" t="str">
        <x:v>仅代表已结题项目；在研老项目另看超期数，不跨类型排名</x:v>
      </x:c>
      <x:c r="M8" s="9" t="str">
        <x:v>按项目知悉范围/部门授权；汇总、下钻、导出均需审查</x:v>
      </x:c>
      <x:c r="N8" s="9" t="str">
        <x:v>原表修订</x:v>
      </x:c>
      <x:c r="O8" s="9" t="str">
        <x:v>驾驶舱!B5；项目生命周期!B6</x:v>
      </x:c>
      <x:c r="P8" s="11" t="str">
        <x:v>待业务与数据责任人确认</x:v>
      </x:c>
      <x:c r="Q8" s="11" t="str">
        <x:v>待确认：适用性、字段、口径版本、目标与授权范围</x:v>
      </x:c>
    </x:row>
    <x:row r="9" ht="42" customHeight="1">
      <x:c r="A9" s="4" t="str">
        <x:v>PRJ05</x:v>
      </x:c>
      <x:c r="B9" s="4" t="str">
        <x:v>项目履约</x:v>
      </x:c>
      <x:c r="C9" s="4" t="str">
        <x:v>到期归档项目文档齐备率</x:v>
      </x:c>
      <x:c r="D9" s="4" t="str">
        <x:v>一期候选</x:v>
      </x:c>
      <x:c r="E9" s="4" t="str">
        <x:v>否</x:v>
      </x:c>
      <x:c r="F9" s="4" t="str">
        <x:v>%</x:v>
      </x:c>
      <x:c r="G9" s="4" t="str">
        <x:v>本期应归档项目中截至期末全部必备文档审核通过的项目数÷本期应归档项目数×100%</x:v>
      </x:c>
      <x:c r="H9" s="4" t="str">
        <x:v>项目×适用归档清单版本；按归档截止日归期</x:v>
      </x:c>
      <x:c r="I9" s="4" t="str">
        <x:v>月；按业务时效可日刷新</x:v>
      </x:c>
      <x:c r="J9" s="4" t="str">
        <x:v>档案系统：清单版本、应归档日、审核状态、项目ID</x:v>
      </x:c>
      <x:c r="K9" s="4" t="str">
        <x:v>档案管理部门</x:v>
      </x:c>
      <x:c r="L9" s="4" t="str">
        <x:v>合并重复文档齐备率；清单须包含适用交付资料；齐备不等于及时</x:v>
      </x:c>
      <x:c r="M9" s="4" t="str">
        <x:v>按项目知悉范围/部门授权；汇总、下钻、导出均需审查</x:v>
      </x:c>
      <x:c r="N9" s="4" t="str">
        <x:v>原表修订</x:v>
      </x:c>
      <x:c r="O9" s="4" t="str">
        <x:v>驾驶舱!B6；项目生命周期!B8；项目生命周期!B13</x:v>
      </x:c>
      <x:c r="P9" s="11" t="str">
        <x:v>待业务与数据责任人确认</x:v>
      </x:c>
      <x:c r="Q9" s="11" t="str">
        <x:v>待确认：适用性、字段、口径版本、目标与授权范围</x:v>
      </x:c>
    </x:row>
    <x:row r="10" ht="42" customHeight="1">
      <x:c r="A10" s="9" t="str">
        <x:v>PRJ06</x:v>
      </x:c>
      <x:c r="B10" s="9" t="str">
        <x:v>经费成本</x:v>
      </x:c>
      <x:c r="C10" s="9" t="str">
        <x:v>项目批准预算分布</x:v>
      </x:c>
      <x:c r="D10" s="9" t="str">
        <x:v>一期候选</x:v>
      </x:c>
      <x:c r="E10" s="9" t="str">
        <x:v>否</x:v>
      </x:c>
      <x:c r="F10" s="9" t="str">
        <x:v>万元</x:v>
      </x:c>
      <x:c r="G10" s="9" t="str">
        <x:v>期末有效批复预算按项目类别汇总，并展示各类金额÷总额×100%</x:v>
      </x:c>
      <x:c r="H10" s="9" t="str">
        <x:v>期末存量；预算版本、项目类别</x:v>
      </x:c>
      <x:c r="I10" s="9" t="str">
        <x:v>月；按业务时效可日刷新</x:v>
      </x:c>
      <x:c r="J10" s="9" t="str">
        <x:v>预算系统：有效预算版本、项目叶级预算、类别</x:v>
      </x:c>
      <x:c r="K10" s="9" t="str">
        <x:v>财务部门</x:v>
      </x:c>
      <x:c r="L10" s="9" t="str">
        <x:v>原经费分布未说明预算/支出；本指标只表达预算，父子层级不可重复加总</x:v>
      </x:c>
      <x:c r="M10" s="9" t="str">
        <x:v>按项目知悉范围/部门授权；汇总、下钻、导出均需审查</x:v>
      </x:c>
      <x:c r="N10" s="9" t="str">
        <x:v>原表修订</x:v>
      </x:c>
      <x:c r="O10" s="9" t="str">
        <x:v>驾驶舱!B7；项目生命周期!B9</x:v>
      </x:c>
      <x:c r="P10" s="11" t="str">
        <x:v>待业务与数据责任人确认</x:v>
      </x:c>
      <x:c r="Q10" s="11" t="str">
        <x:v>待确认：适用性、字段、口径版本、目标与授权范围</x:v>
      </x:c>
    </x:row>
    <x:row r="11" ht="42" customHeight="1">
      <x:c r="A11" s="4" t="str">
        <x:v>PRJ07</x:v>
      </x:c>
      <x:c r="B11" s="4" t="str">
        <x:v>科研成果</x:v>
      </x:c>
      <x:c r="C11" s="4" t="str">
        <x:v>当期授权专利数</x:v>
      </x:c>
      <x:c r="D11" s="4" t="str">
        <x:v>二期候选</x:v>
      </x:c>
      <x:c r="E11" s="4" t="str">
        <x:v>否</x:v>
      </x:c>
      <x:c r="F11" s="4" t="str">
        <x:v>件</x:v>
      </x:c>
      <x:c r="G11" s="4" t="str">
        <x:v>按授权日期落在本期的专利唯一编号去重计数</x:v>
      </x:c>
      <x:c r="H11" s="4" t="str">
        <x:v>期间流量；专利类别、责任部门</x:v>
      </x:c>
      <x:c r="I11" s="4" t="str">
        <x:v>月；按业务时效可日刷新</x:v>
      </x:c>
      <x:c r="J11" s="4" t="str">
        <x:v>知识产权台账：授权号、授权日期、类别、权属</x:v>
      </x:c>
      <x:c r="K11" s="4" t="str">
        <x:v>科研成果部门</x:v>
      </x:c>
      <x:c r="L11" s="4" t="str">
        <x:v>从专利/论文数拆出；不与申请数混算，不作为单独绩效排名</x:v>
      </x:c>
      <x:c r="M11" s="4" t="str">
        <x:v>按项目知悉范围/部门授权；汇总、下钻、导出均需审查</x:v>
      </x:c>
      <x:c r="N11" s="4" t="str">
        <x:v>原表修订</x:v>
      </x:c>
      <x:c r="O11" s="4" t="str">
        <x:v>驾驶舱!B8；项目生命周期!B11</x:v>
      </x:c>
      <x:c r="P11" s="11" t="str">
        <x:v>待业务与数据责任人确认</x:v>
      </x:c>
      <x:c r="Q11" s="11" t="str">
        <x:v>待确认：适用性、字段、口径版本、目标与授权范围</x:v>
      </x:c>
    </x:row>
    <x:row r="12" ht="42" customHeight="1">
      <x:c r="A12" s="9" t="str">
        <x:v>PRJ08</x:v>
      </x:c>
      <x:c r="B12" s="9" t="str">
        <x:v>科研成果</x:v>
      </x:c>
      <x:c r="C12" s="9" t="str">
        <x:v>经审查公开发表论文数</x:v>
      </x:c>
      <x:c r="D12" s="9" t="str">
        <x:v>二期候选</x:v>
      </x:c>
      <x:c r="E12" s="9" t="str">
        <x:v>否</x:v>
      </x:c>
      <x:c r="F12" s="9" t="str">
        <x:v>篇</x:v>
      </x:c>
      <x:c r="G12" s="9" t="str">
        <x:v>本期正式发表且完成适用公开审查的论文ID去重计数</x:v>
      </x:c>
      <x:c r="H12" s="9" t="str">
        <x:v>发表日期归期；部门、成果类型</x:v>
      </x:c>
      <x:c r="I12" s="9" t="str">
        <x:v>月；按业务时效可日刷新</x:v>
      </x:c>
      <x:c r="J12" s="9" t="str">
        <x:v>成果台账：论文ID、发表日、审查记录、重复标识</x:v>
      </x:c>
      <x:c r="K12" s="9" t="str">
        <x:v>科研成果部门</x:v>
      </x:c>
      <x:c r="L12" s="9" t="str">
        <x:v>涉密成果不因不能公开而扣分；不得将内部报告当公开论文</x:v>
      </x:c>
      <x:c r="M12" s="9" t="str">
        <x:v>按项目知悉范围/部门授权；汇总、下钻、导出均需审查</x:v>
      </x:c>
      <x:c r="N12" s="9" t="str">
        <x:v>原表修订</x:v>
      </x:c>
      <x:c r="O12" s="9" t="str">
        <x:v>驾驶舱!B8；项目生命周期!B11</x:v>
      </x:c>
      <x:c r="P12" s="11" t="str">
        <x:v>待业务与数据责任人确认</x:v>
      </x:c>
      <x:c r="Q12" s="11" t="str">
        <x:v>待确认：适用性、字段、口径版本、目标与授权范围</x:v>
      </x:c>
    </x:row>
    <x:row r="13" ht="42" customHeight="1">
      <x:c r="A13" s="4" t="str">
        <x:v>PRJ09</x:v>
      </x:c>
      <x:c r="B13" s="4" t="str">
        <x:v>科研成果</x:v>
      </x:c>
      <x:c r="C13" s="4" t="str">
        <x:v>生效成果转化合同净额</x:v>
      </x:c>
      <x:c r="D13" s="4" t="str">
        <x:v>二期候选</x:v>
      </x:c>
      <x:c r="E13" s="4" t="str">
        <x:v>否</x:v>
      </x:c>
      <x:c r="F13" s="4" t="str">
        <x:v>万元</x:v>
      </x:c>
      <x:c r="G13" s="4" t="str">
        <x:v>本期生效合同金额＋本期生效增补金额－本期生效冲减金额</x:v>
      </x:c>
      <x:c r="H13" s="4" t="str">
        <x:v>合同及变更事件；不含重复主从合同</x:v>
      </x:c>
      <x:c r="I13" s="4" t="str">
        <x:v>月；按业务时效可日刷新</x:v>
      </x:c>
      <x:c r="J13" s="4" t="str">
        <x:v>合同系统：合同ID、生效日、变更金额、币种税口径</x:v>
      </x:c>
      <x:c r="K13" s="4" t="str">
        <x:v>成果转化部门</x:v>
      </x:c>
      <x:c r="L13" s="4" t="str">
        <x:v>合同额不是收入或回款；不以公开交易规模评价全部科研成果</x:v>
      </x:c>
      <x:c r="M13" s="4" t="str">
        <x:v>按项目知悉范围/部门授权；汇总、下钻、导出均需审查</x:v>
      </x:c>
      <x:c r="N13" s="4" t="str">
        <x:v>原表修订</x:v>
      </x:c>
      <x:c r="O13" s="4" t="str">
        <x:v>驾驶舱!B9；项目生命周期!B12</x:v>
      </x:c>
      <x:c r="P13" s="11" t="str">
        <x:v>待业务与数据责任人确认</x:v>
      </x:c>
      <x:c r="Q13" s="11" t="str">
        <x:v>待确认：适用性、字段、口径版本、目标与授权范围</x:v>
      </x:c>
    </x:row>
    <x:row r="14" ht="42" customHeight="1">
      <x:c r="A14" s="9" t="str">
        <x:v>PRJ10</x:v>
      </x:c>
      <x:c r="B14" s="9" t="str">
        <x:v>项目履约</x:v>
      </x:c>
      <x:c r="C14" s="9" t="str">
        <x:v>期末在研项目数</x:v>
      </x:c>
      <x:c r="D14" s="9" t="str">
        <x:v>一期候选</x:v>
      </x:c>
      <x:c r="E14" s="9" t="str">
        <x:v>否</x:v>
      </x:c>
      <x:c r="F14" s="9" t="str">
        <x:v>项</x:v>
      </x:c>
      <x:c r="G14" s="9" t="str">
        <x:v>截至期末已批准且状态为执行中的项目ID去重计数</x:v>
      </x:c>
      <x:c r="H14" s="9" t="str">
        <x:v>期末快照；部门、项目类型</x:v>
      </x:c>
      <x:c r="I14" s="9" t="str">
        <x:v>月；按业务时效可日刷新</x:v>
      </x:c>
      <x:c r="J14" s="9" t="str">
        <x:v>项目系统：状态履历、生效时间、项目ID</x:v>
      </x:c>
      <x:c r="K14" s="9" t="str">
        <x:v>科研计划部门</x:v>
      </x:c>
      <x:c r="L14" s="9" t="str">
        <x:v>暂停、撤销、结题分别列示；不能只用未结题状态判定</x:v>
      </x:c>
      <x:c r="M14" s="9" t="str">
        <x:v>按项目知悉范围/部门授权；汇总、下钻、导出均需审查</x:v>
      </x:c>
      <x:c r="N14" s="9" t="str">
        <x:v>原表修订</x:v>
      </x:c>
      <x:c r="O14" s="9" t="str">
        <x:v>项目生命周期!B4</x:v>
      </x:c>
      <x:c r="P14" s="11" t="str">
        <x:v>待业务与数据责任人确认</x:v>
      </x:c>
      <x:c r="Q14" s="11" t="str">
        <x:v>待确认：适用性、字段、口径版本、目标与授权范围</x:v>
      </x:c>
    </x:row>
    <x:row r="15" ht="42" customHeight="1">
      <x:c r="A15" s="4" t="str">
        <x:v>PRJ11</x:v>
      </x:c>
      <x:c r="B15" s="4" t="str">
        <x:v>项目履约</x:v>
      </x:c>
      <x:c r="C15" s="4" t="str">
        <x:v>期末逾期未结题项目数</x:v>
      </x:c>
      <x:c r="D15" s="4" t="str">
        <x:v>一期候选</x:v>
      </x:c>
      <x:c r="E15" s="4" t="str">
        <x:v>是</x:v>
      </x:c>
      <x:c r="F15" s="4" t="str">
        <x:v>项</x:v>
      </x:c>
      <x:c r="G15" s="4" t="str">
        <x:v>截至期末基线结题日已过且尚未验收结题的项目ID去重计数</x:v>
      </x:c>
      <x:c r="H15" s="4" t="str">
        <x:v>期末快照；项目类型、责任部门</x:v>
      </x:c>
      <x:c r="I15" s="4" t="str">
        <x:v>月；按业务时效可日刷新</x:v>
      </x:c>
      <x:c r="J15" s="4" t="str">
        <x:v>项目系统：基线日期、实际结题日、状态履历</x:v>
      </x:c>
      <x:c r="K15" s="4" t="str">
        <x:v>科研计划部门</x:v>
      </x:c>
      <x:c r="L15" s="4" t="str">
        <x:v>与当期延期结题分开；已批准取消项目按生效日留痕处理</x:v>
      </x:c>
      <x:c r="M15" s="4" t="str">
        <x:v>按项目知悉范围/部门授权；汇总、下钻、导出均需审查</x:v>
      </x:c>
      <x:c r="N15" s="4" t="str">
        <x:v>原表修订</x:v>
      </x:c>
      <x:c r="O15" s="4" t="str">
        <x:v>项目生命周期!B7</x:v>
      </x:c>
      <x:c r="P15" s="11" t="str">
        <x:v>待业务与数据责任人确认</x:v>
      </x:c>
      <x:c r="Q15" s="11" t="str">
        <x:v>待确认：适用性、字段、口径版本、目标与授权范围</x:v>
      </x:c>
    </x:row>
    <x:row r="16" ht="42" customHeight="1">
      <x:c r="A16" s="9" t="str">
        <x:v>PRJ12</x:v>
      </x:c>
      <x:c r="B16" s="9" t="str">
        <x:v>经费成本</x:v>
      </x:c>
      <x:c r="C16" s="9" t="str">
        <x:v>累计项目预算执行率</x:v>
      </x:c>
      <x:c r="D16" s="9" t="str">
        <x:v>一期候选</x:v>
      </x:c>
      <x:c r="E16" s="9" t="str">
        <x:v>是</x:v>
      </x:c>
      <x:c r="F16" s="9" t="str">
        <x:v>%</x:v>
      </x:c>
      <x:c r="G16" s="9" t="str">
        <x:v>同一项目范围自立项至期末累计确认支出÷期末有效全周期批复预算×100%</x:v>
      </x:c>
      <x:c r="H16" s="9" t="str">
        <x:v>项目全周期累计；经费性质、责任部门</x:v>
      </x:c>
      <x:c r="I16" s="9" t="str">
        <x:v>月；按业务时效可日刷新</x:v>
      </x:c>
      <x:c r="J16" s="9" t="str">
        <x:v>财务/预算：项目支出凭证、有效预算、截止日期</x:v>
      </x:c>
      <x:c r="K16" s="9" t="str">
        <x:v>财务部门</x:v>
      </x:c>
      <x:c r="L16" s="9" t="str">
        <x:v>先确定支出会计口径；不可把当月支出除全周期预算；并非越高越好</x:v>
      </x:c>
      <x:c r="M16" s="9" t="str">
        <x:v>按项目知悉范围/部门授权；汇总、下钻、导出均需审查</x:v>
      </x:c>
      <x:c r="N16" s="9" t="str">
        <x:v>原表修订</x:v>
      </x:c>
      <x:c r="O16" s="9" t="str">
        <x:v>项目生命周期!B10</x:v>
      </x:c>
      <x:c r="P16" s="11" t="str">
        <x:v>待业务与数据责任人确认</x:v>
      </x:c>
      <x:c r="Q16" s="11" t="str">
        <x:v>待确认：适用性、字段、口径版本、目标与授权范围</x:v>
      </x:c>
    </x:row>
    <x:row r="17" ht="42" customHeight="1">
      <x:c r="A17" s="4" t="str">
        <x:v>PRJ13</x:v>
      </x:c>
      <x:c r="B17" s="4" t="str">
        <x:v>项目履约</x:v>
      </x:c>
      <x:c r="C17" s="4" t="str">
        <x:v>到期项目归档及时率</x:v>
      </x:c>
      <x:c r="D17" s="4" t="str">
        <x:v>二期候选</x:v>
      </x:c>
      <x:c r="E17" s="4" t="str">
        <x:v>否</x:v>
      </x:c>
      <x:c r="F17" s="4" t="str">
        <x:v>%</x:v>
      </x:c>
      <x:c r="G17" s="4" t="str">
        <x:v>本期应归档且全部必备文档在归档截止日前审核通过的项目数÷本期应归档项目数×100%</x:v>
      </x:c>
      <x:c r="H17" s="4" t="str">
        <x:v>按归档到期日归期；项目类型</x:v>
      </x:c>
      <x:c r="I17" s="4" t="str">
        <x:v>月；按业务时效可日刷新</x:v>
      </x:c>
      <x:c r="J17" s="4" t="str">
        <x:v>档案系统：应归档日、末份必备文档审核日、清单</x:v>
      </x:c>
      <x:c r="K17" s="4" t="str">
        <x:v>档案管理部门</x:v>
      </x:c>
      <x:c r="L17" s="4" t="str">
        <x:v>原分母总结题项目未考虑归档宽限期；与齐备率共用清单</x:v>
      </x:c>
      <x:c r="M17" s="4" t="str">
        <x:v>按项目知悉范围/部门授权；汇总、下钻、导出均需审查</x:v>
      </x:c>
      <x:c r="N17" s="4" t="str">
        <x:v>原表修订</x:v>
      </x:c>
      <x:c r="O17" s="4" t="str">
        <x:v>项目生命周期!B14</x:v>
      </x:c>
      <x:c r="P17" s="11" t="str">
        <x:v>待业务与数据责任人确认</x:v>
      </x:c>
      <x:c r="Q17" s="11" t="str">
        <x:v>待确认：适用性、字段、口径版本、目标与授权范围</x:v>
      </x:c>
    </x:row>
    <x:row r="18" ht="42" customHeight="1">
      <x:c r="A18" s="9" t="str">
        <x:v>FIN01</x:v>
      </x:c>
      <x:c r="B18" s="9" t="str">
        <x:v>经费成本</x:v>
      </x:c>
      <x:c r="C18" s="9" t="str">
        <x:v>当期确认收入</x:v>
      </x:c>
      <x:c r="D18" s="9" t="str">
        <x:v>一期候选</x:v>
      </x:c>
      <x:c r="E18" s="9" t="str">
        <x:v>否</x:v>
      </x:c>
      <x:c r="F18" s="9" t="str">
        <x:v>万元</x:v>
      </x:c>
      <x:c r="G18" s="9" t="str">
        <x:v>汇总本期财务已关账收入科目的净发生额</x:v>
      </x:c>
      <x:c r="H18" s="9" t="str">
        <x:v>法人核算主体×会计期间；收入类别</x:v>
      </x:c>
      <x:c r="I18" s="9" t="str">
        <x:v>月；按业务时效可日刷新</x:v>
      </x:c>
      <x:c r="J18" s="9" t="str">
        <x:v>财务：科目映射、凭证、冲销、核算主体</x:v>
      </x:c>
      <x:c r="K18" s="9" t="str">
        <x:v>财务部门</x:v>
      </x:c>
      <x:c r="L18" s="9" t="str">
        <x:v>限定适用会计制度；不把拨款到账、合同额直接当收入</x:v>
      </x:c>
      <x:c r="M18" s="9" t="str">
        <x:v>按项目知悉范围/部门授权；汇总、下钻、导出均需审查</x:v>
      </x:c>
      <x:c r="N18" s="9" t="str">
        <x:v>原表修订</x:v>
      </x:c>
      <x:c r="O18" s="9" t="str">
        <x:v>驾驶舱!B10；财务运营与成本管控模块!B2</x:v>
      </x:c>
      <x:c r="P18" s="11" t="str">
        <x:v>待业务与数据责任人确认</x:v>
      </x:c>
      <x:c r="Q18" s="11" t="str">
        <x:v>待确认：适用性、字段、口径版本、目标与授权范围</x:v>
      </x:c>
    </x:row>
    <x:row r="19" ht="42" customHeight="1">
      <x:c r="A19" s="4" t="str">
        <x:v>FIN02</x:v>
      </x:c>
      <x:c r="B19" s="4" t="str">
        <x:v>经费成本</x:v>
      </x:c>
      <x:c r="C19" s="4" t="str">
        <x:v>当期费用及成本</x:v>
      </x:c>
      <x:c r="D19" s="4" t="str">
        <x:v>一期候选</x:v>
      </x:c>
      <x:c r="E19" s="4" t="str">
        <x:v>否</x:v>
      </x:c>
      <x:c r="F19" s="4" t="str">
        <x:v>万元</x:v>
      </x:c>
      <x:c r="G19" s="4" t="str">
        <x:v>汇总本期与FIN01同制度的已关账费用成本净发生额</x:v>
      </x:c>
      <x:c r="H19" s="4" t="str">
        <x:v>法人核算主体×会计期间；费用类别</x:v>
      </x:c>
      <x:c r="I19" s="4" t="str">
        <x:v>月；按业务时效可日刷新</x:v>
      </x:c>
      <x:c r="J19" s="4" t="str">
        <x:v>财务：科目映射、成本费用凭证、结转</x:v>
      </x:c>
      <x:c r="K19" s="4" t="str">
        <x:v>财务部门</x:v>
      </x:c>
      <x:c r="L19" s="4" t="str">
        <x:v>原总支出易混合现金支付与费用；本口径不含购置资产现金全额</x:v>
      </x:c>
      <x:c r="M19" s="4" t="str">
        <x:v>按项目知悉范围/部门授权；汇总、下钻、导出均需审查</x:v>
      </x:c>
      <x:c r="N19" s="4" t="str">
        <x:v>原表修订</x:v>
      </x:c>
      <x:c r="O19" s="4" t="str">
        <x:v>驾驶舱!B11；财务运营与成本管控模块!B3</x:v>
      </x:c>
      <x:c r="P19" s="11" t="str">
        <x:v>待业务与数据责任人确认</x:v>
      </x:c>
      <x:c r="Q19" s="11" t="str">
        <x:v>待确认：适用性、字段、口径版本、目标与授权范围</x:v>
      </x:c>
    </x:row>
    <x:row r="20" ht="42" customHeight="1">
      <x:c r="A20" s="9" t="str">
        <x:v>FIN03</x:v>
      </x:c>
      <x:c r="B20" s="9" t="str">
        <x:v>经费成本</x:v>
      </x:c>
      <x:c r="C20" s="9" t="str">
        <x:v>当期收支差额（管理口径）</x:v>
      </x:c>
      <x:c r="D20" s="9" t="str">
        <x:v>一期候选</x:v>
      </x:c>
      <x:c r="E20" s="9" t="str">
        <x:v>否</x:v>
      </x:c>
      <x:c r="F20" s="9" t="str">
        <x:v>万元</x:v>
      </x:c>
      <x:c r="G20" s="9" t="str">
        <x:v>FIN01当期确认收入－FIN02当期费用及成本</x:v>
      </x:c>
      <x:c r="H20" s="9" t="str">
        <x:v>与FIN01、FIN02完全同范围同期间</x:v>
      </x:c>
      <x:c r="I20" s="9" t="str">
        <x:v>月；按业务时效可日刷新</x:v>
      </x:c>
      <x:c r="J20" s="9" t="str">
        <x:v>财务：FIN01、FIN02及科目映射</x:v>
      </x:c>
      <x:c r="K20" s="9" t="str">
        <x:v>财务部门</x:v>
      </x:c>
      <x:c r="L20" s="9" t="str">
        <x:v>不直接称净利润或法定净结余；法定报表指标按适用制度另行映射</x:v>
      </x:c>
      <x:c r="M20" s="9" t="str">
        <x:v>按项目知悉范围/部门授权；汇总、下钻、导出均需审查</x:v>
      </x:c>
      <x:c r="N20" s="9" t="str">
        <x:v>原表修订</x:v>
      </x:c>
      <x:c r="O20" s="9" t="str">
        <x:v>驾驶舱!B12；财务运营与成本管控模块!B4</x:v>
      </x:c>
      <x:c r="P20" s="11" t="str">
        <x:v>待业务与数据责任人确认</x:v>
      </x:c>
      <x:c r="Q20" s="11" t="str">
        <x:v>待确认：适用性、字段、口径版本、目标与授权范围</x:v>
      </x:c>
    </x:row>
    <x:row r="21" ht="42" customHeight="1">
      <x:c r="A21" s="4" t="str">
        <x:v>FIN04</x:v>
      </x:c>
      <x:c r="B21" s="4" t="str">
        <x:v>经费成本</x:v>
      </x:c>
      <x:c r="C21" s="4" t="str">
        <x:v>同类合格产品单位制造成本</x:v>
      </x:c>
      <x:c r="D21" s="4" t="str">
        <x:v>二期候选</x:v>
      </x:c>
      <x:c r="E21" s="4" t="str">
        <x:v>否</x:v>
      </x:c>
      <x:c r="F21" s="4" t="str">
        <x:v>元/件</x:v>
      </x:c>
      <x:c r="G21" s="4" t="str">
        <x:v>本期结转到同规格合格完工产品的制造成本÷该批合格完工数量</x:v>
      </x:c>
      <x:c r="H21" s="4" t="str">
        <x:v>产品规格×成本结算期；计量单位一致</x:v>
      </x:c>
      <x:c r="I21" s="4" t="str">
        <x:v>月；按业务时效可日刷新</x:v>
      </x:c>
      <x:c r="J21" s="4" t="str">
        <x:v>成本/MES：成本对象、完工转入成本、合格数量</x:v>
      </x:c>
      <x:c r="K21" s="4" t="str">
        <x:v>财务及生产部门</x:v>
      </x:c>
      <x:c r="L21" s="4" t="str">
        <x:v>合并单位产出成本与单位制造成本；科研项目不得以项目数充当产量</x:v>
      </x:c>
      <x:c r="M21" s="4" t="str">
        <x:v>按项目知悉范围/部门授权；汇总、下钻、导出均需审查</x:v>
      </x:c>
      <x:c r="N21" s="4" t="str">
        <x:v>原表修订</x:v>
      </x:c>
      <x:c r="O21" s="4" t="str">
        <x:v>驾驶舱!B13；驾驶舱!B30；财务运营与成本管控模块!B5；生产运营与物料保障!B4</x:v>
      </x:c>
      <x:c r="P21" s="11" t="str">
        <x:v>待业务与数据责任人确认</x:v>
      </x:c>
      <x:c r="Q21" s="11" t="str">
        <x:v>待确认：适用性、字段、口径版本、目标与授权范围</x:v>
      </x:c>
    </x:row>
    <x:row r="22" ht="42" customHeight="1">
      <x:c r="A22" s="9" t="str">
        <x:v>FIN05</x:v>
      </x:c>
      <x:c r="B22" s="9" t="str">
        <x:v>资源保障</x:v>
      </x:c>
      <x:c r="C22" s="9" t="str">
        <x:v>科研试验设备有效利用率</x:v>
      </x:c>
      <x:c r="D22" s="9" t="str">
        <x:v>二期候选</x:v>
      </x:c>
      <x:c r="E22" s="9" t="str">
        <x:v>否</x:v>
      </x:c>
      <x:c r="F22" s="9" t="str">
        <x:v>%</x:v>
      </x:c>
      <x:c r="G22" s="9" t="str">
        <x:v>实际执行有效科研试验任务小时÷批准可供科研使用小时×100%</x:v>
      </x:c>
      <x:c r="H22" s="9" t="str">
        <x:v>设备×月；设备类别、责任部门</x:v>
      </x:c>
      <x:c r="I22" s="9" t="str">
        <x:v>月；按业务时效可日刷新</x:v>
      </x:c>
      <x:c r="J22" s="9" t="str">
        <x:v>设备预约/运行：任务小时、批准开放时段、校准维护</x:v>
      </x:c>
      <x:c r="K22" s="9" t="str">
        <x:v>设备管理部门</x:v>
      </x:c>
      <x:c r="L22" s="9" t="str">
        <x:v>替代固定资产ROI；战略备用设备单列，不因低利用率简单淘汰</x:v>
      </x:c>
      <x:c r="M22" s="9" t="str">
        <x:v>按项目知悉范围/部门授权；汇总、下钻、导出均需审查</x:v>
      </x:c>
      <x:c r="N22" s="9" t="str">
        <x:v>原表修订</x:v>
      </x:c>
      <x:c r="O22" s="9" t="str">
        <x:v>驾驶舱!B14；财务运营与成本管控模块!B6</x:v>
      </x:c>
      <x:c r="P22" s="11" t="str">
        <x:v>待业务与数据责任人确认</x:v>
      </x:c>
      <x:c r="Q22" s="11" t="str">
        <x:v>待确认：适用性、字段、口径版本、目标与授权范围</x:v>
      </x:c>
    </x:row>
    <x:row r="23" ht="42" customHeight="1">
      <x:c r="A23" s="4" t="str">
        <x:v>FIN06</x:v>
      </x:c>
      <x:c r="B23" s="4" t="str">
        <x:v>经费成本</x:v>
      </x:c>
      <x:c r="C23" s="4" t="str">
        <x:v>三公经费预算偏差率（适用时）</x:v>
      </x:c>
      <x:c r="D23" s="4" t="str">
        <x:v>条件启用</x:v>
      </x:c>
      <x:c r="E23" s="4" t="str">
        <x:v>否</x:v>
      </x:c>
      <x:c r="F23" s="4" t="str">
        <x:v>%</x:v>
      </x:c>
      <x:c r="G23" s="4" t="str">
        <x:v>(累计实际三公经费－同期间累计批准预算)÷同期间累计批准预算×100%</x:v>
      </x:c>
      <x:c r="H23" s="4" t="str">
        <x:v>年初累计；适用经费分类</x:v>
      </x:c>
      <x:c r="I23" s="4" t="str">
        <x:v>月；按业务时效可日刷新</x:v>
      </x:c>
      <x:c r="J23" s="4" t="str">
        <x:v>财务/预算：三公分类、支出、预算版本</x:v>
      </x:c>
      <x:c r="K23" s="4" t="str">
        <x:v>财务部门</x:v>
      </x:c>
      <x:c r="L23" s="4" t="str">
        <x:v>适用范围须财务确认；零预算发生支出另报金额异常，不算百分比</x:v>
      </x:c>
      <x:c r="M23" s="4" t="str">
        <x:v>按项目知悉范围/部门授权；汇总、下钻、导出均需审查</x:v>
      </x:c>
      <x:c r="N23" s="4" t="str">
        <x:v>原表修订</x:v>
      </x:c>
      <x:c r="O23" s="4" t="str">
        <x:v>驾驶舱!B15；财务运营与成本管控模块!B7</x:v>
      </x:c>
      <x:c r="P23" s="11" t="str">
        <x:v>待业务与数据责任人确认</x:v>
      </x:c>
      <x:c r="Q23" s="11" t="str">
        <x:v>待确认：适用性、字段、口径版本、目标与授权范围</x:v>
      </x:c>
    </x:row>
    <x:row r="24" ht="42" customHeight="1">
      <x:c r="A24" s="9" t="str">
        <x:v>FIN07</x:v>
      </x:c>
      <x:c r="B24" s="9" t="str">
        <x:v>采购保障</x:v>
      </x:c>
      <x:c r="C24" s="9" t="str">
        <x:v>同质可比采购价格指数</x:v>
      </x:c>
      <x:c r="D24" s="9" t="str">
        <x:v>条件启用</x:v>
      </x:c>
      <x:c r="E24" s="9" t="str">
        <x:v>否</x:v>
      </x:c>
      <x:c r="F24" s="9" t="str">
        <x:v>指数</x:v>
      </x:c>
      <x:c r="G24" s="9" t="str">
        <x:v>Σ(本期同质物料价格×基期固定数量)÷Σ(基期价格×基期固定数量)×100</x:v>
      </x:c>
      <x:c r="H24" s="9" t="str">
        <x:v>固定样本篮子；同规格、质量等级、税币口径</x:v>
      </x:c>
      <x:c r="I24" s="9" t="str">
        <x:v>月；按业务时效可日刷新</x:v>
      </x:c>
      <x:c r="J24" s="9" t="str">
        <x:v>采购：规格、质量等级、基期量价、本期可比价</x:v>
      </x:c>
      <x:c r="K24" s="9" t="str">
        <x:v>采购部门</x:v>
      </x:c>
      <x:c r="L24" s="9" t="str">
        <x:v>基期为100；缺少可比样本不硬算；定制研制件不与通用件直接比价</x:v>
      </x:c>
      <x:c r="M24" s="9" t="str">
        <x:v>按项目知悉范围/部门授权；汇总、下钻、导出均需审查</x:v>
      </x:c>
      <x:c r="N24" s="9" t="str">
        <x:v>原表修订</x:v>
      </x:c>
      <x:c r="O24" s="9" t="str">
        <x:v>驾驶舱!B16；财务运营与成本管控模块!B8</x:v>
      </x:c>
      <x:c r="P24" s="11" t="str">
        <x:v>待业务与数据责任人确认</x:v>
      </x:c>
      <x:c r="Q24" s="11" t="str">
        <x:v>待确认：适用性、字段、口径版本、目标与授权范围</x:v>
      </x:c>
    </x:row>
    <x:row r="25" ht="42" customHeight="1">
      <x:c r="A25" s="4" t="str">
        <x:v>FIN08</x:v>
      </x:c>
      <x:c r="B25" s="4" t="str">
        <x:v>经费成本</x:v>
      </x:c>
      <x:c r="C25" s="4" t="str">
        <x:v>资产负债率</x:v>
      </x:c>
      <x:c r="D25" s="4" t="str">
        <x:v>二期候选</x:v>
      </x:c>
      <x:c r="E25" s="4" t="str">
        <x:v>否</x:v>
      </x:c>
      <x:c r="F25" s="4" t="str">
        <x:v>%</x:v>
      </x:c>
      <x:c r="G25" s="4" t="str">
        <x:v>同一期末总负债÷总资产×100%</x:v>
      </x:c>
      <x:c r="H25" s="4" t="str">
        <x:v>法人主体×期末；财务报表口径</x:v>
      </x:c>
      <x:c r="I25" s="4" t="str">
        <x:v>月；按业务时效可日刷新</x:v>
      </x:c>
      <x:c r="J25" s="4" t="str">
        <x:v>财务：期末资产总额、负债总额</x:v>
      </x:c>
      <x:c r="K25" s="4" t="str">
        <x:v>财务部门</x:v>
      </x:c>
      <x:c r="L25" s="4" t="str">
        <x:v>不拆到无独立资产负债表的部门；不预设统一红线</x:v>
      </x:c>
      <x:c r="M25" s="4" t="str">
        <x:v>按项目知悉范围/部门授权；汇总、下钻、导出均需审查</x:v>
      </x:c>
      <x:c r="N25" s="4" t="str">
        <x:v>原表修订</x:v>
      </x:c>
      <x:c r="O25" s="4" t="str">
        <x:v>财务运营与成本管控模块!B9</x:v>
      </x:c>
      <x:c r="P25" s="11" t="str">
        <x:v>待业务与数据责任人确认</x:v>
      </x:c>
      <x:c r="Q25" s="11" t="str">
        <x:v>待确认：适用性、字段、口径版本、目标与授权范围</x:v>
      </x:c>
    </x:row>
    <x:row r="26" ht="42" customHeight="1">
      <x:c r="A26" s="9" t="str">
        <x:v>FIN09</x:v>
      </x:c>
      <x:c r="B26" s="9" t="str">
        <x:v>经费成本</x:v>
      </x:c>
      <x:c r="C26" s="9" t="str">
        <x:v>净利润率（企业制度适用时）</x:v>
      </x:c>
      <x:c r="D26" s="9" t="str">
        <x:v>条件启用</x:v>
      </x:c>
      <x:c r="E26" s="9" t="str">
        <x:v>否</x:v>
      </x:c>
      <x:c r="F26" s="9" t="str">
        <x:v>%</x:v>
      </x:c>
      <x:c r="G26" s="9" t="str">
        <x:v>同期间已确认净利润÷营业收入×100%</x:v>
      </x:c>
      <x:c r="H26" s="9" t="str">
        <x:v>法人主体×会计期间</x:v>
      </x:c>
      <x:c r="I26" s="9" t="str">
        <x:v>月；按业务时效可日刷新</x:v>
      </x:c>
      <x:c r="J26" s="9" t="str">
        <x:v>财务：净利润、营业收入、制度口径</x:v>
      </x:c>
      <x:c r="K26" s="9" t="str">
        <x:v>财务部门</x:v>
      </x:c>
      <x:c r="L26" s="9" t="str">
        <x:v>不与科研事业单位收支结余混用；非经营科研任务不按利润率排序</x:v>
      </x:c>
      <x:c r="M26" s="9" t="str">
        <x:v>按项目知悉范围/部门授权；汇总、下钻、导出均需审查</x:v>
      </x:c>
      <x:c r="N26" s="9" t="str">
        <x:v>原表修订</x:v>
      </x:c>
      <x:c r="O26" s="9" t="str">
        <x:v>财务运营与成本管控模块!B10</x:v>
      </x:c>
      <x:c r="P26" s="11" t="str">
        <x:v>待业务与数据责任人确认</x:v>
      </x:c>
      <x:c r="Q26" s="11" t="str">
        <x:v>待确认：适用性、字段、口径版本、目标与授权范围</x:v>
      </x:c>
    </x:row>
    <x:row r="27" ht="42" customHeight="1">
      <x:c r="A27" s="4" t="str">
        <x:v>FIN10</x:v>
      </x:c>
      <x:c r="B27" s="4" t="str">
        <x:v>经费成本</x:v>
      </x:c>
      <x:c r="C27" s="4" t="str">
        <x:v>期间费用率（企业制度适用时）</x:v>
      </x:c>
      <x:c r="D27" s="4" t="str">
        <x:v>条件启用</x:v>
      </x:c>
      <x:c r="E27" s="4" t="str">
        <x:v>否</x:v>
      </x:c>
      <x:c r="F27" s="4" t="str">
        <x:v>%</x:v>
      </x:c>
      <x:c r="G27" s="4" t="str">
        <x:v>同期间销售费用、管理费用及财务费用之和÷营业收入×100%</x:v>
      </x:c>
      <x:c r="H27" s="4" t="str">
        <x:v>法人主体×会计期间</x:v>
      </x:c>
      <x:c r="I27" s="4" t="str">
        <x:v>月；按业务时效可日刷新</x:v>
      </x:c>
      <x:c r="J27" s="4" t="str">
        <x:v>财务：费用科目映射、营业收入</x:v>
      </x:c>
      <x:c r="K27" s="4" t="str">
        <x:v>财务部门</x:v>
      </x:c>
      <x:c r="L27" s="4" t="str">
        <x:v>明确是否含研发费用，当前建议不含且单列；映射待财务审定</x:v>
      </x:c>
      <x:c r="M27" s="4" t="str">
        <x:v>按项目知悉范围/部门授权；汇总、下钻、导出均需审查</x:v>
      </x:c>
      <x:c r="N27" s="4" t="str">
        <x:v>原表修订</x:v>
      </x:c>
      <x:c r="O27" s="4" t="str">
        <x:v>财务运营与成本管控模块!B11</x:v>
      </x:c>
      <x:c r="P27" s="11" t="str">
        <x:v>待业务与数据责任人确认</x:v>
      </x:c>
      <x:c r="Q27" s="11" t="str">
        <x:v>待确认：适用性、字段、口径版本、目标与授权范围</x:v>
      </x:c>
    </x:row>
    <x:row r="28" ht="42" customHeight="1">
      <x:c r="A28" s="9" t="str">
        <x:v>HR01</x:v>
      </x:c>
      <x:c r="B28" s="9" t="str">
        <x:v>人才保障</x:v>
      </x:c>
      <x:c r="C28" s="9" t="str">
        <x:v>期末岗位类别人数占比</x:v>
      </x:c>
      <x:c r="D28" s="9" t="str">
        <x:v>二期候选</x:v>
      </x:c>
      <x:c r="E28" s="9" t="str">
        <x:v>否</x:v>
      </x:c>
      <x:c r="F28" s="9" t="str">
        <x:v>%</x:v>
      </x:c>
      <x:c r="G28" s="9" t="str">
        <x:v>期末某主岗位类别在岗人数÷期末在岗总人数×100%</x:v>
      </x:c>
      <x:c r="H28" s="9" t="str">
        <x:v>期末快照；主岗位类别、部门</x:v>
      </x:c>
      <x:c r="I28" s="9" t="str">
        <x:v>月；按业务时效可日刷新</x:v>
      </x:c>
      <x:c r="J28" s="9" t="str">
        <x:v>HR：人员ID、主岗位、在岗状态、组织履历</x:v>
      </x:c>
      <x:c r="K28" s="9" t="str">
        <x:v>人力资源部门</x:v>
      </x:c>
      <x:c r="L28" s="9" t="str">
        <x:v>科研/技术/管理分类应互斥穷尽；兼职只按确定主岗位统计</x:v>
      </x:c>
      <x:c r="M28" s="9" t="str">
        <x:v>限制个人明细与小样本反推；授权范围内汇总</x:v>
      </x:c>
      <x:c r="N28" s="9" t="str">
        <x:v>原表修订</x:v>
      </x:c>
      <x:c r="O28" s="9" t="str">
        <x:v>驾驶舱!B17；人力资源效能发展!B2</x:v>
      </x:c>
      <x:c r="P28" s="11" t="str">
        <x:v>待业务与数据责任人确认</x:v>
      </x:c>
      <x:c r="Q28" s="11" t="str">
        <x:v>待确认：适用性、字段、口径版本、目标与授权范围</x:v>
      </x:c>
    </x:row>
    <x:row r="29" ht="42" customHeight="1">
      <x:c r="A29" s="4" t="str">
        <x:v>HR02</x:v>
      </x:c>
      <x:c r="B29" s="4" t="str">
        <x:v>人才保障</x:v>
      </x:c>
      <x:c r="C29" s="4" t="str">
        <x:v>核心人才主动离职率</x:v>
      </x:c>
      <x:c r="D29" s="4" t="str">
        <x:v>二期候选</x:v>
      </x:c>
      <x:c r="E29" s="4" t="str">
        <x:v>否</x:v>
      </x:c>
      <x:c r="F29" s="4" t="str">
        <x:v>%</x:v>
      </x:c>
      <x:c r="G29" s="4" t="str">
        <x:v>期间主动离职核心人才人数÷期间核心人才月均在岗人数×100%</x:v>
      </x:c>
      <x:c r="H29" s="4" t="str">
        <x:v>滚动12月为主；核心人才名录版本</x:v>
      </x:c>
      <x:c r="I29" s="4" t="str">
        <x:v>月；按业务时效可日刷新</x:v>
      </x:c>
      <x:c r="J29" s="4" t="str">
        <x:v>HR：核心名录、离职原因、月均人数</x:v>
      </x:c>
      <x:c r="K29" s="4" t="str">
        <x:v>人力资源部门</x:v>
      </x:c>
      <x:c r="L29" s="4" t="str">
        <x:v>核心名录先冻结；退休、内部调动与主动离职分开；小样本限制展示</x:v>
      </x:c>
      <x:c r="M29" s="4" t="str">
        <x:v>限制个人明细与小样本反推；授权范围内汇总</x:v>
      </x:c>
      <x:c r="N29" s="4" t="str">
        <x:v>原表修订</x:v>
      </x:c>
      <x:c r="O29" s="4" t="str">
        <x:v>驾驶舱!B18；人力资源效能发展!B3</x:v>
      </x:c>
      <x:c r="P29" s="11" t="str">
        <x:v>待业务与数据责任人确认</x:v>
      </x:c>
      <x:c r="Q29" s="11" t="str">
        <x:v>待确认：适用性、字段、口径版本、目标与授权范围</x:v>
      </x:c>
    </x:row>
    <x:row r="30" ht="42" customHeight="1">
      <x:c r="A30" s="9" t="str">
        <x:v>HR03</x:v>
      </x:c>
      <x:c r="B30" s="9" t="str">
        <x:v>人才保障</x:v>
      </x:c>
      <x:c r="C30" s="9" t="str">
        <x:v>关键岗位空缺人岗天数</x:v>
      </x:c>
      <x:c r="D30" s="9" t="str">
        <x:v>二期候选</x:v>
      </x:c>
      <x:c r="E30" s="9" t="str">
        <x:v>否</x:v>
      </x:c>
      <x:c r="F30" s="9" t="str">
        <x:v>人岗天</x:v>
      </x:c>
      <x:c r="G30" s="9" t="str">
        <x:v>Σ期间每日关键岗位批准编制数与实际合格在岗数的正差</x:v>
      </x:c>
      <x:c r="H30" s="9" t="str">
        <x:v>批准岗位×日；部门、岗位类别</x:v>
      </x:c>
      <x:c r="I30" s="9" t="str">
        <x:v>日采集/月汇总</x:v>
      </x:c>
      <x:c r="J30" s="9" t="str">
        <x:v>HR：编制生效日、空缺日、任职日、资格</x:v>
      </x:c>
      <x:c r="K30" s="9" t="str">
        <x:v>人力资源部门</x:v>
      </x:c>
      <x:c r="L30" s="9" t="str">
        <x:v>按缺口人数累计；同岗多名缺员不可只算一次；月末未补齐继续累计</x:v>
      </x:c>
      <x:c r="M30" s="9" t="str">
        <x:v>限制个人明细与小样本反推；授权范围内汇总</x:v>
      </x:c>
      <x:c r="N30" s="9" t="str">
        <x:v>原表修订</x:v>
      </x:c>
      <x:c r="O30" s="9" t="str">
        <x:v>驾驶舱!B19；人力资源效能发展!B4</x:v>
      </x:c>
      <x:c r="P30" s="11" t="str">
        <x:v>待业务与数据责任人确认</x:v>
      </x:c>
      <x:c r="Q30" s="11" t="str">
        <x:v>待确认：适用性、字段、口径版本、目标与授权范围</x:v>
      </x:c>
    </x:row>
    <x:row r="31" ht="42" customHeight="1">
      <x:c r="A31" s="4" t="str">
        <x:v>HR04</x:v>
      </x:c>
      <x:c r="B31" s="4" t="str">
        <x:v>人才保障</x:v>
      </x:c>
      <x:c r="C31" s="4" t="str">
        <x:v>人均应付薪酬</x:v>
      </x:c>
      <x:c r="D31" s="4" t="str">
        <x:v>二期候选</x:v>
      </x:c>
      <x:c r="E31" s="4" t="str">
        <x:v>否</x:v>
      </x:c>
      <x:c r="F31" s="4" t="str">
        <x:v>元/人</x:v>
      </x:c>
      <x:c r="G31" s="4" t="str">
        <x:v>同期间应付职工薪酬÷期间月均在岗人数</x:v>
      </x:c>
      <x:c r="H31" s="4" t="str">
        <x:v>月；同用工范围、责任部门</x:v>
      </x:c>
      <x:c r="I31" s="4" t="str">
        <x:v>月；按业务时效可日刷新</x:v>
      </x:c>
      <x:c r="J31" s="4" t="str">
        <x:v>HR/财务：应付薪酬范围、月均人数</x:v>
      </x:c>
      <x:c r="K31" s="4" t="str">
        <x:v>人力资源及财务</x:v>
      </x:c>
      <x:c r="L31" s="4" t="str">
        <x:v>不混用发放与计提；仅授权汇总，禁止通过小部门反推个人收入</x:v>
      </x:c>
      <x:c r="M31" s="4" t="str">
        <x:v>限制个人明细与小样本反推；授权范围内汇总</x:v>
      </x:c>
      <x:c r="N31" s="4" t="str">
        <x:v>原表修订</x:v>
      </x:c>
      <x:c r="O31" s="4" t="str">
        <x:v>驾驶舱!B20；人力资源效能发展!B5</x:v>
      </x:c>
      <x:c r="P31" s="11" t="str">
        <x:v>待业务与数据责任人确认</x:v>
      </x:c>
      <x:c r="Q31" s="11" t="str">
        <x:v>待确认：适用性、字段、口径版本、目标与授权范围</x:v>
      </x:c>
    </x:row>
    <x:row r="32" ht="42" customHeight="1">
      <x:c r="A32" s="9" t="str">
        <x:v>HR05</x:v>
      </x:c>
      <x:c r="B32" s="9" t="str">
        <x:v>科研成果</x:v>
      </x:c>
      <x:c r="C32" s="9" t="str">
        <x:v>验收通过代表性成果数</x:v>
      </x:c>
      <x:c r="D32" s="9" t="str">
        <x:v>二期候选</x:v>
      </x:c>
      <x:c r="E32" s="9" t="str">
        <x:v>否</x:v>
      </x:c>
      <x:c r="F32" s="9" t="str">
        <x:v>项</x:v>
      </x:c>
      <x:c r="G32" s="9" t="str">
        <x:v>本期通过规定验收的代表性成果ID按类型分别去重计数</x:v>
      </x:c>
      <x:c r="H32" s="9" t="str">
        <x:v>成果类型×验收期；关联项目、责任部门</x:v>
      </x:c>
      <x:c r="I32" s="9" t="str">
        <x:v>月；按业务时效可日刷新</x:v>
      </x:c>
      <x:c r="J32" s="9" t="str">
        <x:v>成果台账：成果ID、类型、验收结论、贡献归属</x:v>
      </x:c>
      <x:c r="K32" s="9" t="str">
        <x:v>科研成果部门</x:v>
      </x:c>
      <x:c r="L32" s="9" t="str">
        <x:v>替代人均科研产出；质量与任务贡献同行评议，不把论文/专利简单相加</x:v>
      </x:c>
      <x:c r="M32" s="9" t="str">
        <x:v>按项目知悉范围/部门授权；汇总、下钻、导出均需审查</x:v>
      </x:c>
      <x:c r="N32" s="9" t="str">
        <x:v>原表修订</x:v>
      </x:c>
      <x:c r="O32" s="9" t="str">
        <x:v>驾驶舱!B21；人力资源效能发展!B6</x:v>
      </x:c>
      <x:c r="P32" s="11" t="str">
        <x:v>待业务与数据责任人确认</x:v>
      </x:c>
      <x:c r="Q32" s="11" t="str">
        <x:v>待确认：适用性、字段、口径版本、目标与授权范围</x:v>
      </x:c>
    </x:row>
    <x:row r="33" ht="42" customHeight="1">
      <x:c r="A33" s="4" t="str">
        <x:v>HR06</x:v>
      </x:c>
      <x:c r="B33" s="4" t="str">
        <x:v>人才保障</x:v>
      </x:c>
      <x:c r="C33" s="4" t="str">
        <x:v>到期岗位能力认证通过率</x:v>
      </x:c>
      <x:c r="D33" s="4" t="str">
        <x:v>二期候选</x:v>
      </x:c>
      <x:c r="E33" s="4" t="str">
        <x:v>否</x:v>
      </x:c>
      <x:c r="F33" s="4" t="str">
        <x:v>%</x:v>
      </x:c>
      <x:c r="G33" s="4" t="str">
        <x:v>本期应认证且按期通过岗位能力考核人数÷本期应认证人数×100%</x:v>
      </x:c>
      <x:c r="H33" s="4" t="str">
        <x:v>人员×岗位认证周期；到期归期</x:v>
      </x:c>
      <x:c r="I33" s="4" t="str">
        <x:v>月；按业务时效可日刷新</x:v>
      </x:c>
      <x:c r="J33" s="4" t="str">
        <x:v>HR/培训：岗位要求、应认证日、考核结果</x:v>
      </x:c>
      <x:c r="K33" s="4" t="str">
        <x:v>人力资源部门</x:v>
      </x:c>
      <x:c r="L33" s="4" t="str">
        <x:v>替代难归因的培训投入产出比；只计签到不能证明能力形成</x:v>
      </x:c>
      <x:c r="M33" s="4" t="str">
        <x:v>限制个人明细与小样本反推；授权范围内汇总</x:v>
      </x:c>
      <x:c r="N33" s="4" t="str">
        <x:v>原表修订</x:v>
      </x:c>
      <x:c r="O33" s="4" t="str">
        <x:v>驾驶舱!B22；人力资源效能发展!B7</x:v>
      </x:c>
      <x:c r="P33" s="11" t="str">
        <x:v>待业务与数据责任人确认</x:v>
      </x:c>
      <x:c r="Q33" s="11" t="str">
        <x:v>待确认：适用性、字段、口径版本、目标与授权范围</x:v>
      </x:c>
    </x:row>
    <x:row r="34" ht="42" customHeight="1">
      <x:c r="A34" s="9" t="str">
        <x:v>HR07</x:v>
      </x:c>
      <x:c r="B34" s="9" t="str">
        <x:v>人才保障</x:v>
      </x:c>
      <x:c r="C34" s="9" t="str">
        <x:v>应训人员培训完成率</x:v>
      </x:c>
      <x:c r="D34" s="9" t="str">
        <x:v>二期候选</x:v>
      </x:c>
      <x:c r="E34" s="9" t="str">
        <x:v>否</x:v>
      </x:c>
      <x:c r="F34" s="9" t="str">
        <x:v>%</x:v>
      </x:c>
      <x:c r="G34" s="9" t="str">
        <x:v>本期应训且完成规定课程与考核人数÷本期应训人数×100%</x:v>
      </x:c>
      <x:c r="H34" s="9" t="str">
        <x:v>人员×培训计划周期；培训类型</x:v>
      </x:c>
      <x:c r="I34" s="9" t="str">
        <x:v>月；按业务时效可日刷新</x:v>
      </x:c>
      <x:c r="J34" s="9" t="str">
        <x:v>培训：应训名单、完成课程、考核结果</x:v>
      </x:c>
      <x:c r="K34" s="9" t="str">
        <x:v>人力资源部门</x:v>
      </x:c>
      <x:c r="L34" s="9" t="str">
        <x:v>分母是应训人员，非全员；不同培训类型分别计算</x:v>
      </x:c>
      <x:c r="M34" s="9" t="str">
        <x:v>限制个人明细与小样本反推；授权范围内汇总</x:v>
      </x:c>
      <x:c r="N34" s="9" t="str">
        <x:v>原表修订</x:v>
      </x:c>
      <x:c r="O34" s="9" t="str">
        <x:v>人力资源效能发展!B8</x:v>
      </x:c>
      <x:c r="P34" s="11" t="str">
        <x:v>待业务与数据责任人确认</x:v>
      </x:c>
      <x:c r="Q34" s="11" t="str">
        <x:v>待确认：适用性、字段、口径版本、目标与授权范围</x:v>
      </x:c>
    </x:row>
    <x:row r="35" ht="42" customHeight="1">
      <x:c r="A35" s="4" t="str">
        <x:v>HR08</x:v>
      </x:c>
      <x:c r="B35" s="4" t="str">
        <x:v>人才保障</x:v>
      </x:c>
      <x:c r="C35" s="4" t="str">
        <x:v>到期试用人员转正率</x:v>
      </x:c>
      <x:c r="D35" s="4" t="str">
        <x:v>二期候选</x:v>
      </x:c>
      <x:c r="E35" s="4" t="str">
        <x:v>否</x:v>
      </x:c>
      <x:c r="F35" s="4" t="str">
        <x:v>%</x:v>
      </x:c>
      <x:c r="G35" s="4" t="str">
        <x:v>本期应结束试用且通过转正审批人数÷本期应结束试用人数×100%</x:v>
      </x:c>
      <x:c r="H35" s="4" t="str">
        <x:v>试用到期 cohort；部门、用工类型</x:v>
      </x:c>
      <x:c r="I35" s="4" t="str">
        <x:v>月；按业务时效可日刷新</x:v>
      </x:c>
      <x:c r="J35" s="4" t="str">
        <x:v>HR：入职日、约定试用到期日、转正审批</x:v>
      </x:c>
      <x:c r="K35" s="4" t="str">
        <x:v>人力资源部门</x:v>
      </x:c>
      <x:c r="L35" s="4" t="str">
        <x:v>试用内离职需纳入原到期队列；延期单列避免幸存者偏差</x:v>
      </x:c>
      <x:c r="M35" s="4" t="str">
        <x:v>限制个人明细与小样本反推；授权范围内汇总</x:v>
      </x:c>
      <x:c r="N35" s="4" t="str">
        <x:v>原表修订</x:v>
      </x:c>
      <x:c r="O35" s="4" t="str">
        <x:v>人力资源效能发展!B9</x:v>
      </x:c>
      <x:c r="P35" s="11" t="str">
        <x:v>待业务与数据责任人确认</x:v>
      </x:c>
      <x:c r="Q35" s="11" t="str">
        <x:v>待确认：适用性、字段、口径版本、目标与授权范围</x:v>
      </x:c>
    </x:row>
    <x:row r="36" ht="42" customHeight="1">
      <x:c r="A36" s="9" t="str">
        <x:v>HR09</x:v>
      </x:c>
      <x:c r="B36" s="9" t="str">
        <x:v>人才保障</x:v>
      </x:c>
      <x:c r="C36" s="9" t="str">
        <x:v>有效考核人员优秀占比</x:v>
      </x:c>
      <x:c r="D36" s="9" t="str">
        <x:v>条件启用</x:v>
      </x:c>
      <x:c r="E36" s="9" t="str">
        <x:v>否</x:v>
      </x:c>
      <x:c r="F36" s="9" t="str">
        <x:v>%</x:v>
      </x:c>
      <x:c r="G36" s="9" t="str">
        <x:v>本期有效考核中评为优秀人数÷本期有效考核人数×100%</x:v>
      </x:c>
      <x:c r="H36" s="9" t="str">
        <x:v>考核周期；同评价方案</x:v>
      </x:c>
      <x:c r="I36" s="9" t="str">
        <x:v>月；按业务时效可日刷新</x:v>
      </x:c>
      <x:c r="J36" s="9" t="str">
        <x:v>HR：有效考核对象、考核等级、方案版本</x:v>
      </x:c>
      <x:c r="K36" s="9" t="str">
        <x:v>人力资源部门</x:v>
      </x:c>
      <x:c r="L36" s="9" t="str">
        <x:v>受优秀名额比例影响，只作分布统计；不当作部门能力排名</x:v>
      </x:c>
      <x:c r="M36" s="9" t="str">
        <x:v>限制个人明细与小样本反推；授权范围内汇总</x:v>
      </x:c>
      <x:c r="N36" s="9" t="str">
        <x:v>原表修订</x:v>
      </x:c>
      <x:c r="O36" s="9" t="str">
        <x:v>人力资源效能发展!B10</x:v>
      </x:c>
      <x:c r="P36" s="11" t="str">
        <x:v>待业务与数据责任人确认</x:v>
      </x:c>
      <x:c r="Q36" s="11" t="str">
        <x:v>待确认：适用性、字段、口径版本、目标与授权范围</x:v>
      </x:c>
    </x:row>
    <x:row r="37" ht="42" customHeight="1">
      <x:c r="A37" s="4" t="str">
        <x:v>HR10</x:v>
      </x:c>
      <x:c r="B37" s="4" t="str">
        <x:v>人才保障</x:v>
      </x:c>
      <x:c r="C37" s="4" t="str">
        <x:v>人力成本占总成本比重</x:v>
      </x:c>
      <x:c r="D37" s="4" t="str">
        <x:v>二期候选</x:v>
      </x:c>
      <x:c r="E37" s="4" t="str">
        <x:v>否</x:v>
      </x:c>
      <x:c r="F37" s="4" t="str">
        <x:v>%</x:v>
      </x:c>
      <x:c r="G37" s="4" t="str">
        <x:v>期间归属于相同成本对象的人力成本÷该范围总成本×100%</x:v>
      </x:c>
      <x:c r="H37" s="4" t="str">
        <x:v>成本对象×期间；部门、项目类型</x:v>
      </x:c>
      <x:c r="I37" s="4" t="str">
        <x:v>月；按业务时效可日刷新</x:v>
      </x:c>
      <x:c r="J37" s="4" t="str">
        <x:v>财务：人工成本、总成本、归集分摊记录</x:v>
      </x:c>
      <x:c r="K37" s="4" t="str">
        <x:v>财务部门</x:v>
      </x:c>
      <x:c r="L37" s="4" t="str">
        <x:v>避免直接人工与分摊人工重复；劳动密集程度差异不代表低效</x:v>
      </x:c>
      <x:c r="M37" s="4" t="str">
        <x:v>限制个人明细与小样本反推；授权范围内汇总</x:v>
      </x:c>
      <x:c r="N37" s="4" t="str">
        <x:v>原表修订</x:v>
      </x:c>
      <x:c r="O37" s="4" t="str">
        <x:v>人力资源效能发展!B11</x:v>
      </x:c>
      <x:c r="P37" s="11" t="str">
        <x:v>待业务与数据责任人确认</x:v>
      </x:c>
      <x:c r="Q37" s="11" t="str">
        <x:v>待确认：适用性、字段、口径版本、目标与授权范围</x:v>
      </x:c>
    </x:row>
    <x:row r="38" ht="42" customHeight="1">
      <x:c r="A38" s="9" t="str">
        <x:v>SUP01</x:v>
      </x:c>
      <x:c r="B38" s="9" t="str">
        <x:v>采购保障</x:v>
      </x:c>
      <x:c r="C38" s="9" t="str">
        <x:v>到期采购交期按时足量到货率</x:v>
      </x:c>
      <x:c r="D38" s="9" t="str">
        <x:v>一期候选</x:v>
      </x:c>
      <x:c r="E38" s="9" t="str">
        <x:v>是</x:v>
      </x:c>
      <x:c r="F38" s="9" t="str">
        <x:v>%</x:v>
      </x:c>
      <x:c r="G38" s="9" t="str">
        <x:v>本期到期交期行中在约定日前足量到货的行数÷本期到期交期行数×100%</x:v>
      </x:c>
      <x:c r="H38" s="9" t="str">
        <x:v>采购订单×行×交期；供应商、物料类别</x:v>
      </x:c>
      <x:c r="I38" s="9" t="str">
        <x:v>月；按业务时效可日刷新</x:v>
      </x:c>
      <x:c r="J38" s="9" t="str">
        <x:v>ERP：订单行、分批交期、约定数量、收货日期数量</x:v>
      </x:c>
      <x:c r="K38" s="9" t="str">
        <x:v>采购部门</x:v>
      </x:c>
      <x:c r="L38" s="9" t="str">
        <x:v>逾期未到货计分母；分批交期独立；验收合格另看QUA02</x:v>
      </x:c>
      <x:c r="M38" s="9" t="str">
        <x:v>按项目知悉范围/部门授权；汇总、下钻、导出均需审查</x:v>
      </x:c>
      <x:c r="N38" s="9" t="str">
        <x:v>原表修订</x:v>
      </x:c>
      <x:c r="O38" s="9" t="str">
        <x:v>驾驶舱!B23；供应链!B2</x:v>
      </x:c>
      <x:c r="P38" s="11" t="str">
        <x:v>待业务与数据责任人确认</x:v>
      </x:c>
      <x:c r="Q38" s="11" t="str">
        <x:v>待确认：适用性、字段、口径版本、目标与授权范围</x:v>
      </x:c>
    </x:row>
    <x:row r="39" ht="42" customHeight="1">
      <x:c r="A39" s="4" t="str">
        <x:v>SUP02</x:v>
      </x:c>
      <x:c r="B39" s="4" t="str">
        <x:v>采购保障</x:v>
      </x:c>
      <x:c r="C39" s="4" t="str">
        <x:v>已收齐采购行平均到货周期</x:v>
      </x:c>
      <x:c r="D39" s="4" t="str">
        <x:v>二期候选</x:v>
      </x:c>
      <x:c r="E39" s="4" t="str">
        <x:v>否</x:v>
      </x:c>
      <x:c r="F39" s="4" t="str">
        <x:v>天</x:v>
      </x:c>
      <x:c r="G39" s="4" t="str">
        <x:v>本期收齐采购行的Σ(足量到货日－订单生效日)÷本期收齐行数</x:v>
      </x:c>
      <x:c r="H39" s="4" t="str">
        <x:v>收齐日归期；采购行、物料类别</x:v>
      </x:c>
      <x:c r="I39" s="4" t="str">
        <x:v>月；按业务时效可日刷新</x:v>
      </x:c>
      <x:c r="J39" s="4" t="str">
        <x:v>ERP：订单生效日、分批收货、足量到货日</x:v>
      </x:c>
      <x:c r="K39" s="4" t="str">
        <x:v>采购部门</x:v>
      </x:c>
      <x:c r="L39" s="4" t="str">
        <x:v>只反映已收齐 cohort；未到货积压另看SUP11，避免快单偏差</x:v>
      </x:c>
      <x:c r="M39" s="4" t="str">
        <x:v>按项目知悉范围/部门授权；汇总、下钻、导出均需审查</x:v>
      </x:c>
      <x:c r="N39" s="4" t="str">
        <x:v>原表修订</x:v>
      </x:c>
      <x:c r="O39" s="4" t="str">
        <x:v>驾驶舱!B24；供应链!B3</x:v>
      </x:c>
      <x:c r="P39" s="11" t="str">
        <x:v>待业务与数据责任人确认</x:v>
      </x:c>
      <x:c r="Q39" s="11" t="str">
        <x:v>待确认：适用性、字段、口径版本、目标与授权范围</x:v>
      </x:c>
    </x:row>
    <x:row r="40" ht="42" customHeight="1">
      <x:c r="A40" s="9" t="str">
        <x:v>SUP03</x:v>
      </x:c>
      <x:c r="B40" s="9" t="str">
        <x:v>采购保障</x:v>
      </x:c>
      <x:c r="C40" s="9" t="str">
        <x:v>同质采购价格偏差率</x:v>
      </x:c>
      <x:c r="D40" s="9" t="str">
        <x:v>条件启用</x:v>
      </x:c>
      <x:c r="E40" s="9" t="str">
        <x:v>否</x:v>
      </x:c>
      <x:c r="F40" s="9" t="str">
        <x:v>%</x:v>
      </x:c>
      <x:c r="G40" s="9" t="str">
        <x:v>(同质采购加权均价－已批准参考价)÷已批准参考价×100%</x:v>
      </x:c>
      <x:c r="H40" s="9" t="str">
        <x:v>物料规格×质量等级×期间</x:v>
      </x:c>
      <x:c r="I40" s="9" t="str">
        <x:v>月；按业务时效可日刷新</x:v>
      </x:c>
      <x:c r="J40" s="9" t="str">
        <x:v>采购：金额、数量、质量等级、参考价版本</x:v>
      </x:c>
      <x:c r="K40" s="9" t="str">
        <x:v>采购部门</x:v>
      </x:c>
      <x:c r="L40" s="9" t="str">
        <x:v>不以降价抵消质量/保密要求；币种税口径一致；无参考价不计算</x:v>
      </x:c>
      <x:c r="M40" s="9" t="str">
        <x:v>按项目知悉范围/部门授权；汇总、下钻、导出均需审查</x:v>
      </x:c>
      <x:c r="N40" s="9" t="str">
        <x:v>原表修订</x:v>
      </x:c>
      <x:c r="O40" s="9" t="str">
        <x:v>驾驶舱!B25；供应链!B4</x:v>
      </x:c>
      <x:c r="P40" s="11" t="str">
        <x:v>待业务与数据责任人确认</x:v>
      </x:c>
      <x:c r="Q40" s="11" t="str">
        <x:v>待确认：适用性、字段、口径版本、目标与授权范围</x:v>
      </x:c>
    </x:row>
    <x:row r="41" ht="42" customHeight="1">
      <x:c r="A41" s="4" t="str">
        <x:v>SUP04</x:v>
      </x:c>
      <x:c r="B41" s="4" t="str">
        <x:v>采购保障</x:v>
      </x:c>
      <x:c r="C41" s="4" t="str">
        <x:v>供应商分项履约评价</x:v>
      </x:c>
      <x:c r="D41" s="4" t="str">
        <x:v>条件启用</x:v>
      </x:c>
      <x:c r="E41" s="4" t="str">
        <x:v>否</x:v>
      </x:c>
      <x:c r="F41" s="4" t="str">
        <x:v>分项展示</x:v>
      </x:c>
      <x:c r="G41" s="4" t="str">
        <x:v>分别展示SUP01到货率、QUA02质量率及资格状态；暂不合成为总分</x:v>
      </x:c>
      <x:c r="H41" s="4" t="str">
        <x:v>供应商×评价期；资质有效期</x:v>
      </x:c>
      <x:c r="I41" s="4" t="str">
        <x:v>月；按业务时效可日刷新</x:v>
      </x:c>
      <x:c r="J41" s="4" t="str">
        <x:v>供应商台账、采购与质检：分项结果、资格证明</x:v>
      </x:c>
      <x:c r="K41" s="4" t="str">
        <x:v>采购及质量部门</x:v>
      </x:c>
      <x:c r="L41" s="4" t="str">
        <x:v>替代未定义权重的综合分；资质/保密条件不允许被低价或高交付分抵消</x:v>
      </x:c>
      <x:c r="M41" s="4" t="str">
        <x:v>按项目知悉范围/部门授权；汇总、下钻、导出均需审查</x:v>
      </x:c>
      <x:c r="N41" s="4" t="str">
        <x:v>原表修订</x:v>
      </x:c>
      <x:c r="O41" s="4" t="str">
        <x:v>驾驶舱!B26；供应链!B5</x:v>
      </x:c>
      <x:c r="P41" s="11" t="str">
        <x:v>待业务与数据责任人确认</x:v>
      </x:c>
      <x:c r="Q41" s="11" t="str">
        <x:v>待确认：适用性、字段、口径版本、目标与授权范围</x:v>
      </x:c>
    </x:row>
    <x:row r="42" ht="42" customHeight="1">
      <x:c r="A42" s="9" t="str">
        <x:v>INV01</x:v>
      </x:c>
      <x:c r="B42" s="9" t="str">
        <x:v>库存保障</x:v>
      </x:c>
      <x:c r="C42" s="9" t="str">
        <x:v>期末待处置呆滞库存金额</x:v>
      </x:c>
      <x:c r="D42" s="9" t="str">
        <x:v>一期候选</x:v>
      </x:c>
      <x:c r="E42" s="9" t="str">
        <x:v>是</x:v>
      </x:c>
      <x:c r="F42" s="9" t="str">
        <x:v>万元</x:v>
      </x:c>
      <x:c r="G42" s="9" t="str">
        <x:v>Σ达到分类闲置期限且已评审列为待处置的库存账面金额</x:v>
      </x:c>
      <x:c r="H42" s="9" t="str">
        <x:v>库存批次×期末；物料类别、项目占用</x:v>
      </x:c>
      <x:c r="I42" s="9" t="str">
        <x:v>月；按业务时效可日刷新</x:v>
      </x:c>
      <x:c r="J42" s="9" t="str">
        <x:v>ERP/WMS：余额、末次有效领用日、闲置阈值、评审状态</x:v>
      </x:c>
      <x:c r="K42" s="9" t="str">
        <x:v>物资管理部门</x:v>
      </x:c>
      <x:c r="L42" s="9" t="str">
        <x:v>先区分战略储备、专用备件及冻结物料；超期未动用不自动等于可处置</x:v>
      </x:c>
      <x:c r="M42" s="9" t="str">
        <x:v>按项目知悉范围/部门授权；汇总、下钻、导出均需审查</x:v>
      </x:c>
      <x:c r="N42" s="9" t="str">
        <x:v>原表修订</x:v>
      </x:c>
      <x:c r="O42" s="9" t="str">
        <x:v>驾驶舱!B27；供应链!B6</x:v>
      </x:c>
      <x:c r="P42" s="11" t="str">
        <x:v>待业务与数据责任人确认</x:v>
      </x:c>
      <x:c r="Q42" s="11" t="str">
        <x:v>待确认：适用性、字段、口径版本、目标与授权范围</x:v>
      </x:c>
    </x:row>
    <x:row r="43" ht="42" customHeight="1">
      <x:c r="A43" s="4" t="str">
        <x:v>MFG01</x:v>
      </x:c>
      <x:c r="B43" s="4" t="str">
        <x:v>生产履约</x:v>
      </x:c>
      <x:c r="C43" s="4" t="str">
        <x:v>到期生产订单按期完工率</x:v>
      </x:c>
      <x:c r="D43" s="4" t="str">
        <x:v>二期候选</x:v>
      </x:c>
      <x:c r="E43" s="4" t="str">
        <x:v>否</x:v>
      </x:c>
      <x:c r="F43" s="4" t="str">
        <x:v>%</x:v>
      </x:c>
      <x:c r="G43" s="4" t="str">
        <x:v>本期到期且按基线日足量合格完工的订单数÷本期到期订单数×100%</x:v>
      </x:c>
      <x:c r="H43" s="4" t="str">
        <x:v>生产订单×到期日；产品类别</x:v>
      </x:c>
      <x:c r="I43" s="4" t="str">
        <x:v>日采集/月汇总</x:v>
      </x:c>
      <x:c r="J43" s="4" t="str">
        <x:v>MES/ERP：基线、合格完工量、要求量、完成日</x:v>
      </x:c>
      <x:c r="K43" s="4" t="str">
        <x:v>生产管理部门</x:v>
      </x:c>
      <x:c r="L43" s="4" t="str">
        <x:v>逾期未完成订单进入分母；按试制/批产区分；不等同客户验收交付</x:v>
      </x:c>
      <x:c r="M43" s="4" t="str">
        <x:v>按项目知悉范围/部门授权；汇总、下钻、导出均需审查</x:v>
      </x:c>
      <x:c r="N43" s="4" t="str">
        <x:v>原表修订</x:v>
      </x:c>
      <x:c r="O43" s="4" t="str">
        <x:v>驾驶舱!B28；生产运营与物料保障!B2</x:v>
      </x:c>
      <x:c r="P43" s="11" t="str">
        <x:v>待业务与数据责任人确认</x:v>
      </x:c>
      <x:c r="Q43" s="11" t="str">
        <x:v>待确认：适用性、字段、口径版本、目标与授权范围</x:v>
      </x:c>
    </x:row>
    <x:row r="44" ht="42" customHeight="1">
      <x:c r="A44" s="9" t="str">
        <x:v>QUA01</x:v>
      </x:c>
      <x:c r="B44" s="9" t="str">
        <x:v>质量闭环</x:v>
      </x:c>
      <x:c r="C44" s="9" t="str">
        <x:v>产品首次检验批次合格率</x:v>
      </x:c>
      <x:c r="D44" s="9" t="str">
        <x:v>二期候选</x:v>
      </x:c>
      <x:c r="E44" s="9" t="str">
        <x:v>是</x:v>
      </x:c>
      <x:c r="F44" s="9" t="str">
        <x:v>%</x:v>
      </x:c>
      <x:c r="G44" s="9" t="str">
        <x:v>本期首次检验完成且一次判定合格批次数÷本期首次检验完成批次数×100%</x:v>
      </x:c>
      <x:c r="H44" s="9" t="str">
        <x:v>固定检验环节×检验批；完成期</x:v>
      </x:c>
      <x:c r="I44" s="9" t="str">
        <x:v>月；按业务时效可日刷新</x:v>
      </x:c>
      <x:c r="J44" s="9" t="str">
        <x:v>质检：批次ID、首检标识、结论、返工复检标识</x:v>
      </x:c>
      <x:c r="K44" s="9" t="str">
        <x:v>质量部门</x:v>
      </x:c>
      <x:c r="L44" s="9" t="str">
        <x:v>原数量/批次混用；本版采用批次，不混入复检结果；未检批次另列</x:v>
      </x:c>
      <x:c r="M44" s="9" t="str">
        <x:v>按项目知悉范围/部门授权；汇总、下钻、导出均需审查</x:v>
      </x:c>
      <x:c r="N44" s="9" t="str">
        <x:v>原表修订</x:v>
      </x:c>
      <x:c r="O44" s="9" t="str">
        <x:v>驾驶舱!B29；生产运营与物料保障!B3</x:v>
      </x:c>
      <x:c r="P44" s="11" t="str">
        <x:v>待业务与数据责任人确认</x:v>
      </x:c>
      <x:c r="Q44" s="11" t="str">
        <x:v>待确认：适用性、字段、口径版本、目标与授权范围</x:v>
      </x:c>
    </x:row>
    <x:row r="45" ht="42" customHeight="1">
      <x:c r="A45" s="4" t="str">
        <x:v>INV02</x:v>
      </x:c>
      <x:c r="B45" s="4" t="str">
        <x:v>库存保障</x:v>
      </x:c>
      <x:c r="C45" s="4" t="str">
        <x:v>原材料领用周转率</x:v>
      </x:c>
      <x:c r="D45" s="4" t="str">
        <x:v>二期候选</x:v>
      </x:c>
      <x:c r="E45" s="4" t="str">
        <x:v>否</x:v>
      </x:c>
      <x:c r="F45" s="4" t="str">
        <x:v>次/期</x:v>
      </x:c>
      <x:c r="G45" s="4" t="str">
        <x:v>本期生产科研净领用材料成本÷同期原材料日均账面余额</x:v>
      </x:c>
      <x:c r="H45" s="4" t="str">
        <x:v>原材料账；期间、物料类别</x:v>
      </x:c>
      <x:c r="I45" s="4" t="str">
        <x:v>月；按业务时效可日刷新</x:v>
      </x:c>
      <x:c r="J45" s="4" t="str">
        <x:v>ERP/财务：净领用成本、每日库存金额、退料</x:v>
      </x:c>
      <x:c r="K45" s="4" t="str">
        <x:v>物资及财务部门</x:v>
      </x:c>
      <x:c r="L45" s="4" t="str">
        <x:v>明确替代通用库存周转率；不能把销货成本和材料领用任选；储备单列</x:v>
      </x:c>
      <x:c r="M45" s="4" t="str">
        <x:v>按项目知悉范围/部门授权；汇总、下钻、导出均需审查</x:v>
      </x:c>
      <x:c r="N45" s="4" t="str">
        <x:v>原表修订</x:v>
      </x:c>
      <x:c r="O45" s="4" t="str">
        <x:v>驾驶舱!B31；生产运营与物料保障!B5</x:v>
      </x:c>
      <x:c r="P45" s="11" t="str">
        <x:v>待业务与数据责任人确认</x:v>
      </x:c>
      <x:c r="Q45" s="11" t="str">
        <x:v>待确认：适用性、字段、口径版本、目标与授权范围</x:v>
      </x:c>
    </x:row>
    <x:row r="46" ht="42" customHeight="1">
      <x:c r="A46" s="9" t="str">
        <x:v>MFG02</x:v>
      </x:c>
      <x:c r="B46" s="9" t="str">
        <x:v>生产履约</x:v>
      </x:c>
      <x:c r="C46" s="9" t="str">
        <x:v>稳定批产设备OEE</x:v>
      </x:c>
      <x:c r="D46" s="9" t="str">
        <x:v>条件启用</x:v>
      </x:c>
      <x:c r="E46" s="9" t="str">
        <x:v>否</x:v>
      </x:c>
      <x:c r="F46" s="9" t="str">
        <x:v>%</x:v>
      </x:c>
      <x:c r="G46" s="9" t="str">
        <x:v>运行时间÷计划生产时间×理想单件时间×总产量÷运行时间×合格产量÷总产量×100%</x:v>
      </x:c>
      <x:c r="H46" s="9" t="str">
        <x:v>设备×同工艺产品×班次</x:v>
      </x:c>
      <x:c r="I46" s="9" t="str">
        <x:v>月；按业务时效可日刷新</x:v>
      </x:c>
      <x:c r="J46" s="9" t="str">
        <x:v>MES：计划时间、运行时间、理想节拍、产量、合格量</x:v>
      </x:c>
      <x:c r="K46" s="9" t="str">
        <x:v>生产及设备部门</x:v>
      </x:c>
      <x:c r="L46" s="9" t="str">
        <x:v>仅适用节拍可靠的批产；研发试验设备用FIN05；异质工序不可简单均值</x:v>
      </x:c>
      <x:c r="M46" s="9" t="str">
        <x:v>按项目知悉范围/部门授权；汇总、下钻、导出均需审查</x:v>
      </x:c>
      <x:c r="N46" s="9" t="str">
        <x:v>原表修订</x:v>
      </x:c>
      <x:c r="O46" s="9" t="str">
        <x:v>驾驶舱!B32；生产运营与物料保障!B6</x:v>
      </x:c>
      <x:c r="P46" s="11" t="str">
        <x:v>待业务与数据责任人确认</x:v>
      </x:c>
      <x:c r="Q46" s="11" t="str">
        <x:v>待确认：适用性、字段、口径版本、目标与授权范围</x:v>
      </x:c>
    </x:row>
    <x:row r="47" ht="42" customHeight="1">
      <x:c r="A47" s="4" t="str">
        <x:v>QUA02</x:v>
      </x:c>
      <x:c r="B47" s="4" t="str">
        <x:v>质量闭环</x:v>
      </x:c>
      <x:c r="C47" s="4" t="str">
        <x:v>来料首次检验批次合格率</x:v>
      </x:c>
      <x:c r="D47" s="4" t="str">
        <x:v>二期候选</x:v>
      </x:c>
      <x:c r="E47" s="4" t="str">
        <x:v>是</x:v>
      </x:c>
      <x:c r="F47" s="4" t="str">
        <x:v>%</x:v>
      </x:c>
      <x:c r="G47" s="4" t="str">
        <x:v>本期完成首次检验并判定合格的来料批次÷本期完成首次检验的来料批次×100%</x:v>
      </x:c>
      <x:c r="H47" s="4" t="str">
        <x:v>供应商×物料批次×检验完成期</x:v>
      </x:c>
      <x:c r="I47" s="4" t="str">
        <x:v>月；按业务时效可日刷新</x:v>
      </x:c>
      <x:c r="J47" s="4" t="str">
        <x:v>质检/ERP：来料批号、首次检验结论、完成日</x:v>
      </x:c>
      <x:c r="K47" s="4" t="str">
        <x:v>质量部门</x:v>
      </x:c>
      <x:c r="L47" s="4" t="str">
        <x:v>原分母到货批次混入未检；让步接收、复检合格单列，不算首次合格</x:v>
      </x:c>
      <x:c r="M47" s="4" t="str">
        <x:v>按项目知悉范围/部门授权；汇总、下钻、导出均需审查</x:v>
      </x:c>
      <x:c r="N47" s="4" t="str">
        <x:v>原表修订</x:v>
      </x:c>
      <x:c r="O47" s="4" t="str">
        <x:v>生产运营与物料保障!B7</x:v>
      </x:c>
      <x:c r="P47" s="11" t="str">
        <x:v>待业务与数据责任人确认</x:v>
      </x:c>
      <x:c r="Q47" s="11" t="str">
        <x:v>待确认：适用性、字段、口径版本、目标与授权范围</x:v>
      </x:c>
    </x:row>
    <x:row r="48" ht="42" customHeight="1">
      <x:c r="A48" s="9" t="str">
        <x:v>MFG03</x:v>
      </x:c>
      <x:c r="B48" s="9" t="str">
        <x:v>生产履约</x:v>
      </x:c>
      <x:c r="C48" s="9" t="str">
        <x:v>已完工批次平均生产周期</x:v>
      </x:c>
      <x:c r="D48" s="9" t="str">
        <x:v>二期候选</x:v>
      </x:c>
      <x:c r="E48" s="9" t="str">
        <x:v>否</x:v>
      </x:c>
      <x:c r="F48" s="9" t="str">
        <x:v>天</x:v>
      </x:c>
      <x:c r="G48" s="9" t="str">
        <x:v>本期合格完工批次Σ(完工日－实际投料日)÷本期合格完工批次数</x:v>
      </x:c>
      <x:c r="H48" s="9" t="str">
        <x:v>生产批×完工期；产品族、试制/批产</x:v>
      </x:c>
      <x:c r="I48" s="9" t="str">
        <x:v>月；按业务时效可日刷新</x:v>
      </x:c>
      <x:c r="J48" s="9" t="str">
        <x:v>MES：投料日、合格完工日、批次ID</x:v>
      </x:c>
      <x:c r="K48" s="9" t="str">
        <x:v>生产管理部门</x:v>
      </x:c>
      <x:c r="L48" s="9" t="str">
        <x:v>整批完工口径需固定；同步关注在制超期，不只观察已完成批次</x:v>
      </x:c>
      <x:c r="M48" s="9" t="str">
        <x:v>按项目知悉范围/部门授权；汇总、下钻、导出均需审查</x:v>
      </x:c>
      <x:c r="N48" s="9" t="str">
        <x:v>原表修订</x:v>
      </x:c>
      <x:c r="O48" s="9" t="str">
        <x:v>生产运营与物料保障!B8</x:v>
      </x:c>
      <x:c r="P48" s="11" t="str">
        <x:v>待业务与数据责任人确认</x:v>
      </x:c>
      <x:c r="Q48" s="11" t="str">
        <x:v>待确认：适用性、字段、口径版本、目标与授权范围</x:v>
      </x:c>
    </x:row>
    <x:row r="49" ht="42" customHeight="1">
      <x:c r="A49" s="4" t="str">
        <x:v>MFG04</x:v>
      </x:c>
      <x:c r="B49" s="4" t="str">
        <x:v>生产履约</x:v>
      </x:c>
      <x:c r="C49" s="4" t="str">
        <x:v>期末在制品数量</x:v>
      </x:c>
      <x:c r="D49" s="4" t="str">
        <x:v>二期候选</x:v>
      </x:c>
      <x:c r="E49" s="4" t="str">
        <x:v>否</x:v>
      </x:c>
      <x:c r="F49" s="4" t="str">
        <x:v>件</x:v>
      </x:c>
      <x:c r="G49" s="4" t="str">
        <x:v>期末已投料尚未合格完工的在制品数量，按同规格同单位分别汇总</x:v>
      </x:c>
      <x:c r="H49" s="4" t="str">
        <x:v>期末快照；产品规格、工序</x:v>
      </x:c>
      <x:c r="I49" s="4" t="str">
        <x:v>月；按业务时效可日刷新</x:v>
      </x:c>
      <x:c r="J49" s="4" t="str">
        <x:v>MES/盘点：在制状态、数量、计量单位、工序</x:v>
      </x:c>
      <x:c r="K49" s="4" t="str">
        <x:v>生产管理部门</x:v>
      </x:c>
      <x:c r="L49" s="4" t="str">
        <x:v>不能跨不同单位或规格加总为一个全所产量；报废与待处置单列</x:v>
      </x:c>
      <x:c r="M49" s="4" t="str">
        <x:v>按项目知悉范围/部门授权；汇总、下钻、导出均需审查</x:v>
      </x:c>
      <x:c r="N49" s="4" t="str">
        <x:v>原表修订</x:v>
      </x:c>
      <x:c r="O49" s="4" t="str">
        <x:v>生产运营与物料保障!B9</x:v>
      </x:c>
      <x:c r="P49" s="11" t="str">
        <x:v>待业务与数据责任人确认</x:v>
      </x:c>
      <x:c r="Q49" s="11" t="str">
        <x:v>待确认：适用性、字段、口径版本、目标与授权范围</x:v>
      </x:c>
    </x:row>
    <x:row r="50" ht="42" customHeight="1">
      <x:c r="A50" s="9" t="str">
        <x:v>MFG05</x:v>
      </x:c>
      <x:c r="B50" s="9" t="str">
        <x:v>资源保障</x:v>
      </x:c>
      <x:c r="C50" s="9" t="str">
        <x:v>设备故障停机时间占比</x:v>
      </x:c>
      <x:c r="D50" s="9" t="str">
        <x:v>二期候选</x:v>
      </x:c>
      <x:c r="E50" s="9" t="str">
        <x:v>否</x:v>
      </x:c>
      <x:c r="F50" s="9" t="str">
        <x:v>%</x:v>
      </x:c>
      <x:c r="G50" s="9" t="str">
        <x:v>计划运行时段内故障停机小时÷计划运行小时×100%</x:v>
      </x:c>
      <x:c r="H50" s="9" t="str">
        <x:v>设备×月；设备类别</x:v>
      </x:c>
      <x:c r="I50" s="9" t="str">
        <x:v>月；按业务时效可日刷新</x:v>
      </x:c>
      <x:c r="J50" s="9" t="str">
        <x:v>设备：故障起止、计划运行时段、停机分类</x:v>
      </x:c>
      <x:c r="K50" s="9" t="str">
        <x:v>设备管理部门</x:v>
      </x:c>
      <x:c r="L50" s="9" t="str">
        <x:v>替代故障次数÷设备数的模糊故障率；跨期停机按时段切分，重叠去重</x:v>
      </x:c>
      <x:c r="M50" s="9" t="str">
        <x:v>按项目知悉范围/部门授权；汇总、下钻、导出均需审查</x:v>
      </x:c>
      <x:c r="N50" s="9" t="str">
        <x:v>原表修订</x:v>
      </x:c>
      <x:c r="O50" s="9" t="str">
        <x:v>生产运营与物料保障!B10</x:v>
      </x:c>
      <x:c r="P50" s="11" t="str">
        <x:v>待业务与数据责任人确认</x:v>
      </x:c>
      <x:c r="Q50" s="11" t="str">
        <x:v>待确认：适用性、字段、口径版本、目标与授权范围</x:v>
      </x:c>
    </x:row>
    <x:row r="51" ht="42" customHeight="1">
      <x:c r="A51" s="4" t="str">
        <x:v>MFG06</x:v>
      </x:c>
      <x:c r="B51" s="4" t="str">
        <x:v>资源保障</x:v>
      </x:c>
      <x:c r="C51" s="4" t="str">
        <x:v>同类合格产品能耗强度</x:v>
      </x:c>
      <x:c r="D51" s="4" t="str">
        <x:v>条件启用</x:v>
      </x:c>
      <x:c r="E51" s="4" t="str">
        <x:v>否</x:v>
      </x:c>
      <x:c r="F51" s="4" t="str">
        <x:v>千瓦时/件</x:v>
      </x:c>
      <x:c r="G51" s="4" t="str">
        <x:v>同产品边界可归集用电量÷同期合格完工数量</x:v>
      </x:c>
      <x:c r="H51" s="4" t="str">
        <x:v>产品族×期间；能耗边界固定</x:v>
      </x:c>
      <x:c r="I51" s="4" t="str">
        <x:v>月；按业务时效可日刷新</x:v>
      </x:c>
      <x:c r="J51" s="4" t="str">
        <x:v>能源/MES：分表电量、分摊规则、合格产量</x:v>
      </x:c>
      <x:c r="K51" s="4" t="str">
        <x:v>能源及生产部门</x:v>
      </x:c>
      <x:c r="L51" s="4" t="str">
        <x:v>本版仅用电；蒸汽燃气需另立单位或审批折标系数；试验不套用件产量</x:v>
      </x:c>
      <x:c r="M51" s="4" t="str">
        <x:v>按项目知悉范围/部门授权；汇总、下钻、导出均需审查</x:v>
      </x:c>
      <x:c r="N51" s="4" t="str">
        <x:v>原表修订</x:v>
      </x:c>
      <x:c r="O51" s="4" t="str">
        <x:v>生产运营与物料保障!B11</x:v>
      </x:c>
      <x:c r="P51" s="11" t="str">
        <x:v>待业务与数据责任人确认</x:v>
      </x:c>
      <x:c r="Q51" s="11" t="str">
        <x:v>待确认：适用性、字段、口径版本、目标与授权范围</x:v>
      </x:c>
    </x:row>
    <x:row r="52" ht="42" customHeight="1">
      <x:c r="A52" s="9" t="str">
        <x:v>SUP05</x:v>
      </x:c>
      <x:c r="B52" s="9" t="str">
        <x:v>采购保障</x:v>
      </x:c>
      <x:c r="C52" s="9" t="str">
        <x:v>到期物料需求未满足行占比</x:v>
      </x:c>
      <x:c r="D52" s="9" t="str">
        <x:v>一期候选</x:v>
      </x:c>
      <x:c r="E52" s="9" t="str">
        <x:v>是</x:v>
      </x:c>
      <x:c r="F52" s="9" t="str">
        <x:v>%</x:v>
      </x:c>
      <x:c r="G52" s="9" t="str">
        <x:v>本期到期需求行中未按时足量提供合格可用物料的行数÷本期到期有效需求行数×100%</x:v>
      </x:c>
      <x:c r="H52" s="9" t="str">
        <x:v>需求行×需求日期；项目、物料类别</x:v>
      </x:c>
      <x:c r="I52" s="9" t="str">
        <x:v>月；按业务时效可日刷新</x:v>
      </x:c>
      <x:c r="J52" s="9" t="str">
        <x:v>需求/库存：需求量、需用日、合格可用分配量</x:v>
      </x:c>
      <x:c r="K52" s="9" t="str">
        <x:v>物资及计划部门</x:v>
      </x:c>
      <x:c r="L52" s="9" t="str">
        <x:v>替换跨物料数量相加；冻结、隔离、不属于该项目可用范围的库存不可算满足</x:v>
      </x:c>
      <x:c r="M52" s="9" t="str">
        <x:v>按项目知悉范围/部门授权；汇总、下钻、导出均需审查</x:v>
      </x:c>
      <x:c r="N52" s="9" t="str">
        <x:v>原表修订</x:v>
      </x:c>
      <x:c r="O52" s="9" t="str">
        <x:v>供应链!B7</x:v>
      </x:c>
      <x:c r="P52" s="11" t="str">
        <x:v>待业务与数据责任人确认</x:v>
      </x:c>
      <x:c r="Q52" s="11" t="str">
        <x:v>待确认：适用性、字段、口径版本、目标与授权范围</x:v>
      </x:c>
    </x:row>
    <x:row r="53" ht="42" customHeight="1">
      <x:c r="A53" s="4" t="str">
        <x:v>SUP06</x:v>
      </x:c>
      <x:c r="B53" s="4" t="str">
        <x:v>采购保障</x:v>
      </x:c>
      <x:c r="C53" s="4" t="str">
        <x:v>到期采购需求及时下单率</x:v>
      </x:c>
      <x:c r="D53" s="4" t="str">
        <x:v>二期候选</x:v>
      </x:c>
      <x:c r="E53" s="4" t="str">
        <x:v>否</x:v>
      </x:c>
      <x:c r="F53" s="4" t="str">
        <x:v>%</x:v>
      </x:c>
      <x:c r="G53" s="4" t="str">
        <x:v>本期应下单且在要求日期前完成有效订单的需求行数÷本期应下单需求行数×100%</x:v>
      </x:c>
      <x:c r="H53" s="4" t="str">
        <x:v>需求行×要求下单日；采购类别</x:v>
      </x:c>
      <x:c r="I53" s="4" t="str">
        <x:v>日采集/月汇总</x:v>
      </x:c>
      <x:c r="J53" s="4" t="str">
        <x:v>采购：批准需求、要求下单日、订单生效日、关联关系</x:v>
      </x:c>
      <x:c r="K53" s="4" t="str">
        <x:v>采购部门</x:v>
      </x:c>
      <x:c r="L53" s="4" t="str">
        <x:v>与到货率不同；要求日期由批准需用日和采购提前期推导，不回填美化</x:v>
      </x:c>
      <x:c r="M53" s="4" t="str">
        <x:v>按项目知悉范围/部门授权；汇总、下钻、导出均需审查</x:v>
      </x:c>
      <x:c r="N53" s="4" t="str">
        <x:v>原表修订</x:v>
      </x:c>
      <x:c r="O53" s="4" t="str">
        <x:v>供应链!B8</x:v>
      </x:c>
      <x:c r="P53" s="11" t="str">
        <x:v>待业务与数据责任人确认</x:v>
      </x:c>
      <x:c r="Q53" s="11" t="str">
        <x:v>待确认：适用性、字段、口径版本、目标与授权范围</x:v>
      </x:c>
    </x:row>
    <x:row r="54" ht="42" customHeight="1">
      <x:c r="A54" s="9" t="str">
        <x:v>SUP07</x:v>
      </x:c>
      <x:c r="B54" s="9" t="str">
        <x:v>采购保障</x:v>
      </x:c>
      <x:c r="C54" s="9" t="str">
        <x:v>主要物料前N家供应商采购集中度</x:v>
      </x:c>
      <x:c r="D54" s="9" t="str">
        <x:v>二期候选</x:v>
      </x:c>
      <x:c r="E54" s="9" t="str">
        <x:v>否</x:v>
      </x:c>
      <x:c r="F54" s="9" t="str">
        <x:v>%</x:v>
      </x:c>
      <x:c r="G54" s="9" t="str">
        <x:v>同物料类别本期采购净额前N家供应商之和÷该类别采购净额×100%</x:v>
      </x:c>
      <x:c r="H54" s="9" t="str">
        <x:v>物料类别×期间；N待批准</x:v>
      </x:c>
      <x:c r="I54" s="9" t="str">
        <x:v>月；按业务时效可日刷新</x:v>
      </x:c>
      <x:c r="J54" s="9" t="str">
        <x:v>ERP：供应商统一ID、采购净额、物料类别</x:v>
      </x:c>
      <x:c r="K54" s="9" t="str">
        <x:v>采购部门</x:v>
      </x:c>
      <x:c r="L54" s="9" t="str">
        <x:v>N和集团关联供应商合并规则固定；集中不自动等于高风险</x:v>
      </x:c>
      <x:c r="M54" s="9" t="str">
        <x:v>按项目知悉范围/部门授权；汇总、下钻、导出均需审查</x:v>
      </x:c>
      <x:c r="N54" s="9" t="str">
        <x:v>原表修订</x:v>
      </x:c>
      <x:c r="O54" s="9" t="str">
        <x:v>供应链!B9</x:v>
      </x:c>
      <x:c r="P54" s="11" t="str">
        <x:v>待业务与数据责任人确认</x:v>
      </x:c>
      <x:c r="Q54" s="11" t="str">
        <x:v>待确认：适用性、字段、口径版本、目标与授权范围</x:v>
      </x:c>
    </x:row>
    <x:row r="55" ht="42" customHeight="1">
      <x:c r="A55" s="4" t="str">
        <x:v>SUP08</x:v>
      </x:c>
      <x:c r="B55" s="4" t="str">
        <x:v>采购保障</x:v>
      </x:c>
      <x:c r="C55" s="4" t="str">
        <x:v>关键物料无合格替代来源占比</x:v>
      </x:c>
      <x:c r="D55" s="4" t="str">
        <x:v>二期候选</x:v>
      </x:c>
      <x:c r="E55" s="4" t="str">
        <x:v>是</x:v>
      </x:c>
      <x:c r="F55" s="4" t="str">
        <x:v>%</x:v>
      </x:c>
      <x:c r="G55" s="4" t="str">
        <x:v>冻结关键物料清单中仅一家具备有效供货资格的物料种类数÷关键物料种类数×100%</x:v>
      </x:c>
      <x:c r="H55" s="4" t="str">
        <x:v>关键物料清单×期末；类别</x:v>
      </x:c>
      <x:c r="I55" s="4" t="str">
        <x:v>月；按业务时效可日刷新</x:v>
      </x:c>
      <x:c r="J55" s="4" t="str">
        <x:v>供应商/物料：关键清单、合格来源、资格有效期</x:v>
      </x:c>
      <x:c r="K55" s="4" t="str">
        <x:v>采购及技术部门</x:v>
      </x:c>
      <x:c r="L55" s="4" t="str">
        <x:v>替代不透明供应风险指数；设计指定单一来源单列原因，不强行替代</x:v>
      </x:c>
      <x:c r="M55" s="4" t="str">
        <x:v>按项目知悉范围/部门授权；汇总、下钻、导出均需审查</x:v>
      </x:c>
      <x:c r="N55" s="4" t="str">
        <x:v>原表修订</x:v>
      </x:c>
      <x:c r="O55" s="4" t="str">
        <x:v>供应链!B10</x:v>
      </x:c>
      <x:c r="P55" s="11" t="str">
        <x:v>待业务与数据责任人确认</x:v>
      </x:c>
      <x:c r="Q55" s="11" t="str">
        <x:v>待确认：适用性、字段、口径版本、目标与授权范围</x:v>
      </x:c>
    </x:row>
    <x:row r="56" ht="42" customHeight="1">
      <x:c r="A56" s="9" t="str">
        <x:v>SUP09</x:v>
      </x:c>
      <x:c r="B56" s="9" t="str">
        <x:v>采购保障</x:v>
      </x:c>
      <x:c r="C56" s="9" t="str">
        <x:v>到期采购合同完整履约率</x:v>
      </x:c>
      <x:c r="D56" s="9" t="str">
        <x:v>二期候选</x:v>
      </x:c>
      <x:c r="E56" s="9" t="str">
        <x:v>否</x:v>
      </x:c>
      <x:c r="F56" s="9" t="str">
        <x:v>%</x:v>
      </x:c>
      <x:c r="G56" s="9" t="str">
        <x:v>本期到期且交付、质量、必需资料等适用义务均按期满足的合同数÷本期到期合同数×100%</x:v>
      </x:c>
      <x:c r="H56" s="9" t="str">
        <x:v>合同×履约截止期；供应商</x:v>
      </x:c>
      <x:c r="I56" s="9" t="str">
        <x:v>月；按业务时效可日刷新</x:v>
      </x:c>
      <x:c r="J56" s="9" t="str">
        <x:v>合同：义务清单、到期日、验收、文件、关闭依据</x:v>
      </x:c>
      <x:c r="K56" s="9" t="str">
        <x:v>采购及合同部门</x:v>
      </x:c>
      <x:c r="L56" s="9" t="str">
        <x:v>不能把交货当全部履约；无明确到期或义务清单时先不计算</x:v>
      </x:c>
      <x:c r="M56" s="9" t="str">
        <x:v>按项目知悉范围/部门授权；汇总、下钻、导出均需审查</x:v>
      </x:c>
      <x:c r="N56" s="9" t="str">
        <x:v>原表修订</x:v>
      </x:c>
      <x:c r="O56" s="9" t="str">
        <x:v>供应链!B11</x:v>
      </x:c>
      <x:c r="P56" s="11" t="str">
        <x:v>待业务与数据责任人确认</x:v>
      </x:c>
      <x:c r="Q56" s="11" t="str">
        <x:v>待确认：适用性、字段、口径版本、目标与授权范围</x:v>
      </x:c>
    </x:row>
    <x:row r="57" ht="42" customHeight="1">
      <x:c r="A57" s="4" t="str">
        <x:v>SUP10</x:v>
      </x:c>
      <x:c r="B57" s="4" t="str">
        <x:v>采购保障</x:v>
      </x:c>
      <x:c r="C57" s="4" t="str">
        <x:v>批准紧急采购金额占比</x:v>
      </x:c>
      <x:c r="D57" s="4" t="str">
        <x:v>二期候选</x:v>
      </x:c>
      <x:c r="E57" s="4" t="str">
        <x:v>否</x:v>
      </x:c>
      <x:c r="F57" s="4" t="str">
        <x:v>%</x:v>
      </x:c>
      <x:c r="G57" s="4" t="str">
        <x:v>本期按批准紧急程序生效的采购净额÷本期采购净额×100%</x:v>
      </x:c>
      <x:c r="H57" s="4" t="str">
        <x:v>订单生效期；项目、采购类别</x:v>
      </x:c>
      <x:c r="I57" s="4" t="str">
        <x:v>月；按业务时效可日刷新</x:v>
      </x:c>
      <x:c r="J57" s="4" t="str">
        <x:v>采购：紧急标识、批准记录、净额</x:v>
      </x:c>
      <x:c r="K57" s="4" t="str">
        <x:v>采购部门</x:v>
      </x:c>
      <x:c r="L57" s="4" t="str">
        <x:v>紧急采购不是未经流程采购；违规绕流程另报异常件数</x:v>
      </x:c>
      <x:c r="M57" s="4" t="str">
        <x:v>按项目知悉范围/部门授权；汇总、下钻、导出均需审查</x:v>
      </x:c>
      <x:c r="N57" s="4" t="str">
        <x:v>补充建议</x:v>
      </x:c>
      <x:c r="O57" s="4" t="str">
        <x:v>参考依据见“参考表评审”及“评审结论”</x:v>
      </x:c>
      <x:c r="P57" s="11" t="str">
        <x:v>待业务与数据责任人确认</x:v>
      </x:c>
      <x:c r="Q57" s="11" t="str">
        <x:v>待确认：适用性、字段、口径版本、目标与授权范围</x:v>
      </x:c>
    </x:row>
    <x:row r="58" ht="42" customHeight="1">
      <x:c r="A58" s="9" t="str">
        <x:v>SUP11</x:v>
      </x:c>
      <x:c r="B58" s="9" t="str">
        <x:v>采购保障</x:v>
      </x:c>
      <x:c r="C58" s="9" t="str">
        <x:v>期末逾期未到货交期行数</x:v>
      </x:c>
      <x:c r="D58" s="9" t="str">
        <x:v>一期候选</x:v>
      </x:c>
      <x:c r="E58" s="9" t="str">
        <x:v>否</x:v>
      </x:c>
      <x:c r="F58" s="9" t="str">
        <x:v>行</x:v>
      </x:c>
      <x:c r="G58" s="9" t="str">
        <x:v>期末约定到货日已过但累计收货量仍不足的交期行去重数</x:v>
      </x:c>
      <x:c r="H58" s="9" t="str">
        <x:v>期末快照；供应商、物料类别</x:v>
      </x:c>
      <x:c r="I58" s="9" t="str">
        <x:v>月；按业务时效可日刷新</x:v>
      </x:c>
      <x:c r="J58" s="9" t="str">
        <x:v>ERP：交期行、约定日数量、累计收货</x:v>
      </x:c>
      <x:c r="K58" s="9" t="str">
        <x:v>采购部门</x:v>
      </x:c>
      <x:c r="L58" s="9" t="str">
        <x:v>补齐采购周期幸存者偏差；同时展示正向逾期天数，不用提前到货抵消</x:v>
      </x:c>
      <x:c r="M58" s="9" t="str">
        <x:v>按项目知悉范围/部门授权；汇总、下钻、导出均需审查</x:v>
      </x:c>
      <x:c r="N58" s="9" t="str">
        <x:v>补充建议</x:v>
      </x:c>
      <x:c r="O58" s="9" t="str">
        <x:v>参考依据见“参考表评审”及“评审结论”</x:v>
      </x:c>
      <x:c r="P58" s="11" t="str">
        <x:v>待业务与数据责任人确认</x:v>
      </x:c>
      <x:c r="Q58" s="11" t="str">
        <x:v>待确认：适用性、字段、口径版本、目标与授权范围</x:v>
      </x:c>
    </x:row>
    <x:row r="59" ht="42" customHeight="1">
      <x:c r="A59" s="4" t="str">
        <x:v>INV03</x:v>
      </x:c>
      <x:c r="B59" s="4" t="str">
        <x:v>库存保障</x:v>
      </x:c>
      <x:c r="C59" s="4" t="str">
        <x:v>期末库存账面金额</x:v>
      </x:c>
      <x:c r="D59" s="4" t="str">
        <x:v>一期候选</x:v>
      </x:c>
      <x:c r="E59" s="4" t="str">
        <x:v>否</x:v>
      </x:c>
      <x:c r="F59" s="4" t="str">
        <x:v>万元</x:v>
      </x:c>
      <x:c r="G59" s="4" t="str">
        <x:v>Σ期末在账库存数量×对应账面单位成本，与财务存货账核对</x:v>
      </x:c>
      <x:c r="H59" s="4" t="str">
        <x:v>物料×批次×仓库×期末</x:v>
      </x:c>
      <x:c r="I59" s="4" t="str">
        <x:v>月；按业务时效可日刷新</x:v>
      </x:c>
      <x:c r="J59" s="4" t="str">
        <x:v>ERP/WMS/财务：库存快照、计价、所有权、对账</x:v>
      </x:c>
      <x:c r="K59" s="4" t="str">
        <x:v>物资及财务部门</x:v>
      </x:c>
      <x:c r="L59" s="4" t="str">
        <x:v>参考问题清单反映余额来源待确认；不能仅以不完整入出库单推算</x:v>
      </x:c>
      <x:c r="M59" s="4" t="str">
        <x:v>按项目知悉范围/部门授权；汇总、下钻、导出均需审查</x:v>
      </x:c>
      <x:c r="N59" s="4" t="str">
        <x:v>补充建议</x:v>
      </x:c>
      <x:c r="O59" s="4" t="str">
        <x:v>参考依据见“参考表评审”及“评审结论”</x:v>
      </x:c>
      <x:c r="P59" s="11" t="str">
        <x:v>待业务与数据责任人确认</x:v>
      </x:c>
      <x:c r="Q59" s="11" t="str">
        <x:v>待确认：适用性、字段、口径版本、目标与授权范围</x:v>
      </x:c>
    </x:row>
    <x:row r="60" ht="42" customHeight="1">
      <x:c r="A60" s="9" t="str">
        <x:v>INV04</x:v>
      </x:c>
      <x:c r="B60" s="9" t="str">
        <x:v>库存保障</x:v>
      </x:c>
      <x:c r="C60" s="9" t="str">
        <x:v>分龄闲置库存金额占比</x:v>
      </x:c>
      <x:c r="D60" s="9" t="str">
        <x:v>一期候选</x:v>
      </x:c>
      <x:c r="E60" s="9" t="str">
        <x:v>否</x:v>
      </x:c>
      <x:c r="F60" s="9" t="str">
        <x:v>%</x:v>
      </x:c>
      <x:c r="G60" s="9" t="str">
        <x:v>某互斥闲置时长区间的期末库存金额÷期末库存总金额×100%</x:v>
      </x:c>
      <x:c r="H60" s="9" t="str">
        <x:v>期末；0至3、超过3至6、超过6至12、超过12月</x:v>
      </x:c>
      <x:c r="I60" s="9" t="str">
        <x:v>月；按业务时效可日刷新</x:v>
      </x:c>
      <x:c r="J60" s="9" t="str">
        <x:v>ERP：末次有效领用日、余额、储备标识</x:v>
      </x:c>
      <x:c r="K60" s="9" t="str">
        <x:v>物资管理部门</x:v>
      </x:c>
      <x:c r="L60" s="9" t="str">
        <x:v>按领用间隔分类而非入库龄；内部移库不重置；储备与待处置分开展示</x:v>
      </x:c>
      <x:c r="M60" s="9" t="str">
        <x:v>按项目知悉范围/部门授权；汇总、下钻、导出均需审查</x:v>
      </x:c>
      <x:c r="N60" s="9" t="str">
        <x:v>补充建议</x:v>
      </x:c>
      <x:c r="O60" s="9" t="str">
        <x:v>参考依据见“参考表评审”及“评审结论”</x:v>
      </x:c>
      <x:c r="P60" s="11" t="str">
        <x:v>待业务与数据责任人确认</x:v>
      </x:c>
      <x:c r="Q60" s="11" t="str">
        <x:v>待确认：适用性、字段、口径版本、目标与授权范围</x:v>
      </x:c>
    </x:row>
    <x:row r="61" ht="42" customHeight="1">
      <x:c r="A61" s="4" t="str">
        <x:v>INV05</x:v>
      </x:c>
      <x:c r="B61" s="4" t="str">
        <x:v>库存保障</x:v>
      </x:c>
      <x:c r="C61" s="4" t="str">
        <x:v>临期库存金额占比</x:v>
      </x:c>
      <x:c r="D61" s="4" t="str">
        <x:v>二期候选</x:v>
      </x:c>
      <x:c r="E61" s="4" t="str">
        <x:v>否</x:v>
      </x:c>
      <x:c r="F61" s="4" t="str">
        <x:v>%</x:v>
      </x:c>
      <x:c r="G61" s="4" t="str">
        <x:v>有效期在期末后批准预警窗口内的库存金额÷有有效期管理的库存总金额×100%</x:v>
      </x:c>
      <x:c r="H61" s="4" t="str">
        <x:v>批次×期末；窗口按物料类别批准</x:v>
      </x:c>
      <x:c r="I61" s="4" t="str">
        <x:v>月；按业务时效可日刷新</x:v>
      </x:c>
      <x:c r="J61" s="4" t="str">
        <x:v>WMS：失效日、批次、余额、预警天数</x:v>
      </x:c>
      <x:c r="K61" s="4" t="str">
        <x:v>物资及质量部门</x:v>
      </x:c>
      <x:c r="L61" s="4" t="str">
        <x:v>已过期单列；无效期数据列缺失，不算安全；不用SKU数掩盖金额风险</x:v>
      </x:c>
      <x:c r="M61" s="4" t="str">
        <x:v>按项目知悉范围/部门授权；汇总、下钻、导出均需审查</x:v>
      </x:c>
      <x:c r="N61" s="4" t="str">
        <x:v>补充建议</x:v>
      </x:c>
      <x:c r="O61" s="4" t="str">
        <x:v>参考依据见“参考表评审”及“评审结论”</x:v>
      </x:c>
      <x:c r="P61" s="11" t="str">
        <x:v>待业务与数据责任人确认</x:v>
      </x:c>
      <x:c r="Q61" s="11" t="str">
        <x:v>待确认：适用性、字段、口径版本、目标与授权范围</x:v>
      </x:c>
    </x:row>
    <x:row r="62" ht="42" customHeight="1">
      <x:c r="A62" s="9" t="str">
        <x:v>INV06</x:v>
      </x:c>
      <x:c r="B62" s="9" t="str">
        <x:v>库存保障</x:v>
      </x:c>
      <x:c r="C62" s="9" t="str">
        <x:v>盘点绝对金额差异率</x:v>
      </x:c>
      <x:c r="D62" s="9" t="str">
        <x:v>二期候选</x:v>
      </x:c>
      <x:c r="E62" s="9" t="str">
        <x:v>否</x:v>
      </x:c>
      <x:c r="F62" s="9" t="str">
        <x:v>%</x:v>
      </x:c>
      <x:c r="G62" s="9" t="str">
        <x:v>Σ绝对值(实盘数量－冻结账面数量)×账面单位成本÷被盘点范围账面金额×100%</x:v>
      </x:c>
      <x:c r="H62" s="9" t="str">
        <x:v>盘点批次；统一截止时点与计价</x:v>
      </x:c>
      <x:c r="I62" s="9" t="str">
        <x:v>月；按业务时效可日刷新</x:v>
      </x:c>
      <x:c r="J62" s="9" t="str">
        <x:v>WMS：冻结账、实盘量、单位成本、复核记录</x:v>
      </x:c>
      <x:c r="K62" s="9" t="str">
        <x:v>物资及财务部门</x:v>
      </x:c>
      <x:c r="L62" s="9" t="str">
        <x:v>修正盈亏互相抵消；账面零但实物存在另报盘盈金额；仅代表已盘范围</x:v>
      </x:c>
      <x:c r="M62" s="9" t="str">
        <x:v>按项目知悉范围/部门授权；汇总、下钻、导出均需审查</x:v>
      </x:c>
      <x:c r="N62" s="9" t="str">
        <x:v>补充建议</x:v>
      </x:c>
      <x:c r="O62" s="9" t="str">
        <x:v>参考依据见“参考表评审”及“评审结论”</x:v>
      </x:c>
      <x:c r="P62" s="11" t="str">
        <x:v>待业务与数据责任人确认</x:v>
      </x:c>
      <x:c r="Q62" s="11" t="str">
        <x:v>待确认：适用性、字段、口径版本、目标与授权范围</x:v>
      </x:c>
    </x:row>
    <x:row r="63" ht="42" customHeight="1">
      <x:c r="A63" s="4" t="str">
        <x:v>FIN11</x:v>
      </x:c>
      <x:c r="B63" s="4" t="str">
        <x:v>经费成本</x:v>
      </x:c>
      <x:c r="C63" s="4" t="str">
        <x:v>项目预算调整幅度</x:v>
      </x:c>
      <x:c r="D63" s="4" t="str">
        <x:v>二期候选</x:v>
      </x:c>
      <x:c r="E63" s="4" t="str">
        <x:v>否</x:v>
      </x:c>
      <x:c r="F63" s="4" t="str">
        <x:v>%</x:v>
      </x:c>
      <x:c r="G63" s="4" t="str">
        <x:v>截至期末各次已批准预算调整金额绝对值之和÷原始批复预算×100%</x:v>
      </x:c>
      <x:c r="H63" s="4" t="str">
        <x:v>项目全周期累计；预算版本</x:v>
      </x:c>
      <x:c r="I63" s="4" t="str">
        <x:v>月；按业务时效可日刷新</x:v>
      </x:c>
      <x:c r="J63" s="4" t="str">
        <x:v>预算：原始预算、每次调整金额及批准记录</x:v>
      </x:c>
      <x:c r="K63" s="4" t="str">
        <x:v>财务部门</x:v>
      </x:c>
      <x:c r="L63" s="4" t="str">
        <x:v>与净增减区分，防止往返调整抵消；调整不自动视为不合理</x:v>
      </x:c>
      <x:c r="M63" s="4" t="str">
        <x:v>按项目知悉范围/部门授权；汇总、下钻、导出均需审查</x:v>
      </x:c>
      <x:c r="N63" s="4" t="str">
        <x:v>补充建议</x:v>
      </x:c>
      <x:c r="O63" s="4" t="str">
        <x:v>参考依据见“参考表评审”及“评审结论”</x:v>
      </x:c>
      <x:c r="P63" s="11" t="str">
        <x:v>待业务与数据责任人确认</x:v>
      </x:c>
      <x:c r="Q63" s="11" t="str">
        <x:v>待确认：适用性、字段、口径版本、目标与授权范围</x:v>
      </x:c>
    </x:row>
    <x:row r="64" ht="42" customHeight="1">
      <x:c r="A64" s="9" t="str">
        <x:v>QUA03</x:v>
      </x:c>
      <x:c r="B64" s="9" t="str">
        <x:v>质量闭环</x:v>
      </x:c>
      <x:c r="C64" s="9" t="str">
        <x:v>到期质量问题按期验证关闭率</x:v>
      </x:c>
      <x:c r="D64" s="9" t="str">
        <x:v>二期候选</x:v>
      </x:c>
      <x:c r="E64" s="9" t="str">
        <x:v>是</x:v>
      </x:c>
      <x:c r="F64" s="9" t="str">
        <x:v>%</x:v>
      </x:c>
      <x:c r="G64" s="9" t="str">
        <x:v>本期到期且在要求日前经有效性验证关闭的问题数÷本期到期应关闭问题数×100%</x:v>
      </x:c>
      <x:c r="H64" s="9" t="str">
        <x:v>问题ID×到期日；等级、责任部门</x:v>
      </x:c>
      <x:c r="I64" s="9" t="str">
        <x:v>日采集/月汇总</x:v>
      </x:c>
      <x:c r="J64" s="9" t="str">
        <x:v>质量台账：问题ID、责任、期限、验证、关闭日</x:v>
      </x:c>
      <x:c r="K64" s="9" t="str">
        <x:v>质量部门</x:v>
      </x:c>
      <x:c r="L64" s="9" t="str">
        <x:v>参考不合格票及时关闭率；不能用处理意见填写代替有效性验证</x:v>
      </x:c>
      <x:c r="M64" s="9" t="str">
        <x:v>按项目知悉范围/部门授权；汇总、下钻、导出均需审查</x:v>
      </x:c>
      <x:c r="N64" s="9" t="str">
        <x:v>补充建议</x:v>
      </x:c>
      <x:c r="O64" s="9" t="str">
        <x:v>参考依据见“参考表评审”及“评审结论”</x:v>
      </x:c>
      <x:c r="P64" s="11" t="str">
        <x:v>待业务与数据责任人确认</x:v>
      </x:c>
      <x:c r="Q64" s="11" t="str">
        <x:v>待确认：适用性、字段、口径版本、目标与授权范围</x:v>
      </x:c>
    </x:row>
    <x:row r="65" ht="42" customHeight="1">
      <x:c r="A65" s="4" t="str">
        <x:v>QUA04</x:v>
      </x:c>
      <x:c r="B65" s="4" t="str">
        <x:v>质量闭环</x:v>
      </x:c>
      <x:c r="C65" s="4" t="str">
        <x:v>期末逾期重大质量问题数</x:v>
      </x:c>
      <x:c r="D65" s="4" t="str">
        <x:v>二期候选</x:v>
      </x:c>
      <x:c r="E65" s="4" t="str">
        <x:v>是</x:v>
      </x:c>
      <x:c r="F65" s="4" t="str">
        <x:v>项</x:v>
      </x:c>
      <x:c r="G65" s="4" t="str">
        <x:v>批准重大问题范围内，期末超过处理期限且未验证关闭的问题ID去重数</x:v>
      </x:c>
      <x:c r="H65" s="4" t="str">
        <x:v>期末快照；项目类型、责任部门</x:v>
      </x:c>
      <x:c r="I65" s="4" t="str">
        <x:v>月；按业务时效可日刷新</x:v>
      </x:c>
      <x:c r="J65" s="4" t="str">
        <x:v>质量台账：批准等级、截止日、验证状态</x:v>
      </x:c>
      <x:c r="K65" s="4" t="str">
        <x:v>质量部门</x:v>
      </x:c>
      <x:c r="L65" s="4" t="str">
        <x:v>重大等级按单位批准标准；不以普通问题高关闭率抵消重大问题</x:v>
      </x:c>
      <x:c r="M65" s="4" t="str">
        <x:v>按项目知悉范围/部门授权；汇总、下钻、导出均需审查</x:v>
      </x:c>
      <x:c r="N65" s="4" t="str">
        <x:v>补充建议</x:v>
      </x:c>
      <x:c r="O65" s="4" t="str">
        <x:v>参考依据见“参考表评审”及“评审结论”</x:v>
      </x:c>
      <x:c r="P65" s="11" t="str">
        <x:v>待业务与数据责任人确认</x:v>
      </x:c>
      <x:c r="Q65" s="11" t="str">
        <x:v>待确认：适用性、字段、口径版本、目标与授权范围</x:v>
      </x:c>
    </x:row>
    <x:row r="66" ht="42" customHeight="1">
      <x:c r="A66" s="9" t="str">
        <x:v>QUA05</x:v>
      </x:c>
      <x:c r="B66" s="9" t="str">
        <x:v>质量闭环</x:v>
      </x:c>
      <x:c r="C66" s="9" t="str">
        <x:v>交付批次追溯资料齐备率</x:v>
      </x:c>
      <x:c r="D66" s="9" t="str">
        <x:v>二期候选</x:v>
      </x:c>
      <x:c r="E66" s="9" t="str">
        <x:v>否</x:v>
      </x:c>
      <x:c r="F66" s="9" t="str">
        <x:v>%</x:v>
      </x:c>
      <x:c r="G66" s="9" t="str">
        <x:v>本期交付中适用追溯链及必需资料审核齐备的批次数÷本期交付批次数×100%</x:v>
      </x:c>
      <x:c r="H66" s="9" t="str">
        <x:v>交付批次；产品类别</x:v>
      </x:c>
      <x:c r="I66" s="9" t="str">
        <x:v>月；按业务时效可日刷新</x:v>
      </x:c>
      <x:c r="J66" s="9" t="str">
        <x:v>质量/档案：批号、物料来源、检验、版本、资料审核</x:v>
      </x:c>
      <x:c r="K66" s="9" t="str">
        <x:v>质量及档案部门</x:v>
      </x:c>
      <x:c r="L66" s="9" t="str">
        <x:v>只记录链路齐备和审核结果；详细技术参数保持原授权域内</x:v>
      </x:c>
      <x:c r="M66" s="9" t="str">
        <x:v>按项目知悉范围/部门授权；汇总、下钻、导出均需审查</x:v>
      </x:c>
      <x:c r="N66" s="9" t="str">
        <x:v>补充建议</x:v>
      </x:c>
      <x:c r="O66" s="9" t="str">
        <x:v>参考依据见“参考表评审”及“评审结论”</x:v>
      </x:c>
      <x:c r="P66" s="11" t="str">
        <x:v>待业务与数据责任人确认</x:v>
      </x:c>
      <x:c r="Q66" s="11" t="str">
        <x:v>待确认：适用性、字段、口径版本、目标与授权范围</x:v>
      </x:c>
    </x:row>
    <x:row r="67" ht="42" customHeight="1">
      <x:c r="A67" s="4" t="str">
        <x:v>PRJ14</x:v>
      </x:c>
      <x:c r="B67" s="4" t="str">
        <x:v>项目履约</x:v>
      </x:c>
      <x:c r="C67" s="4" t="str">
        <x:v>到期设计更改按期执行率</x:v>
      </x:c>
      <x:c r="D67" s="4" t="str">
        <x:v>二期候选</x:v>
      </x:c>
      <x:c r="E67" s="4" t="str">
        <x:v>否</x:v>
      </x:c>
      <x:c r="F67" s="4" t="str">
        <x:v>%</x:v>
      </x:c>
      <x:c r="G67" s="4" t="str">
        <x:v>本期到期且全部适用对象按期执行并验证的更改单数÷本期到期更改单数×100%</x:v>
      </x:c>
      <x:c r="H67" s="4" t="str">
        <x:v>更改单×到期日；项目、责任部门</x:v>
      </x:c>
      <x:c r="I67" s="4" t="str">
        <x:v>日采集/月汇总</x:v>
      </x:c>
      <x:c r="J67" s="4" t="str">
        <x:v>PLM：批准版本、影响对象、期限、实施验证</x:v>
      </x:c>
      <x:c r="K67" s="4" t="str">
        <x:v>技术管理部门</x:v>
      </x:c>
      <x:c r="L67" s="4" t="str">
        <x:v>借鉴参考模型，分子分母统一更改单；不能把任务数除以订单数</x:v>
      </x:c>
      <x:c r="M67" s="4" t="str">
        <x:v>按项目知悉范围/部门授权；汇总、下钻、导出均需审查</x:v>
      </x:c>
      <x:c r="N67" s="4" t="str">
        <x:v>补充建议</x:v>
      </x:c>
      <x:c r="O67" s="4" t="str">
        <x:v>参考依据见“参考表评审”及“评审结论”</x:v>
      </x:c>
      <x:c r="P67" s="11" t="str">
        <x:v>待业务与数据责任人确认</x:v>
      </x:c>
      <x:c r="Q67" s="11" t="str">
        <x:v>待确认：适用性、字段、口径版本、目标与授权范围</x:v>
      </x:c>
    </x:row>
    <x:row r="68" ht="42" customHeight="1">
      <x:c r="A68" s="9" t="str">
        <x:v>SEC01</x:v>
      </x:c>
      <x:c r="B68" s="9" t="str">
        <x:v>保密与安全</x:v>
      </x:c>
      <x:c r="C68" s="9" t="str">
        <x:v>到期保密整改按期复核关闭率</x:v>
      </x:c>
      <x:c r="D68" s="9" t="str">
        <x:v>二期候选</x:v>
      </x:c>
      <x:c r="E68" s="9" t="str">
        <x:v>专岗</x:v>
      </x:c>
      <x:c r="F68" s="9" t="str">
        <x:v>%</x:v>
      </x:c>
      <x:c r="G68" s="9" t="str">
        <x:v>本期到期且按期经授权人员复核关闭的整改项数÷本期到期应整改项数×100%</x:v>
      </x:c>
      <x:c r="H68" s="9" t="str">
        <x:v>整改项×到期日；责任单位</x:v>
      </x:c>
      <x:c r="I68" s="9" t="str">
        <x:v>日采集/月汇总</x:v>
      </x:c>
      <x:c r="J68" s="9" t="str">
        <x:v>受控保密台账：编号、期限、复核结论、关闭日</x:v>
      </x:c>
      <x:c r="K68" s="9" t="str">
        <x:v>保密管理部门</x:v>
      </x:c>
      <x:c r="L68" s="9" t="str">
        <x:v>汇总仅限授权域；不在普通驾驶舱展示问题细节与涉密对象</x:v>
      </x:c>
      <x:c r="M68" s="9" t="str">
        <x:v>仅保密/授权管理岗位；审批后汇总，明细留受控域</x:v>
      </x:c>
      <x:c r="N68" s="9" t="str">
        <x:v>补充建议</x:v>
      </x:c>
      <x:c r="O68" s="9" t="str">
        <x:v>参考依据见“参考表评审”及“评审结论”</x:v>
      </x:c>
      <x:c r="P68" s="11" t="str">
        <x:v>待业务与数据责任人确认</x:v>
      </x:c>
      <x:c r="Q68" s="11" t="str">
        <x:v>待确认：适用性、字段、口径版本、目标与授权范围</x:v>
      </x:c>
    </x:row>
    <x:row r="69" ht="42" customHeight="1">
      <x:c r="A69" s="4" t="str">
        <x:v>SEC02</x:v>
      </x:c>
      <x:c r="B69" s="4" t="str">
        <x:v>保密与安全</x:v>
      </x:c>
      <x:c r="C69" s="4" t="str">
        <x:v>期末逾期保密整改项数</x:v>
      </x:c>
      <x:c r="D69" s="4" t="str">
        <x:v>二期候选</x:v>
      </x:c>
      <x:c r="E69" s="4" t="str">
        <x:v>专岗</x:v>
      </x:c>
      <x:c r="F69" s="4" t="str">
        <x:v>项</x:v>
      </x:c>
      <x:c r="G69" s="4" t="str">
        <x:v>期末超过批准期限且未完成复核关闭的整改项去重数</x:v>
      </x:c>
      <x:c r="H69" s="4" t="str">
        <x:v>期末快照；授权责任范围</x:v>
      </x:c>
      <x:c r="I69" s="4" t="str">
        <x:v>月；按业务时效可日刷新</x:v>
      </x:c>
      <x:c r="J69" s="4" t="str">
        <x:v>受控保密台账：编号、期限、状态</x:v>
      </x:c>
      <x:c r="K69" s="4" t="str">
        <x:v>保密管理部门</x:v>
      </x:c>
      <x:c r="L69" s="4" t="str">
        <x:v>与整改及时率配套；低问题发现数或零记录不等于保密工作良好</x:v>
      </x:c>
      <x:c r="M69" s="4" t="str">
        <x:v>仅保密/授权管理岗位；审批后汇总，明细留受控域</x:v>
      </x:c>
      <x:c r="N69" s="4" t="str">
        <x:v>补充建议</x:v>
      </x:c>
      <x:c r="O69" s="4" t="str">
        <x:v>参考依据见“参考表评审”及“评审结论”</x:v>
      </x:c>
      <x:c r="P69" s="11" t="str">
        <x:v>待业务与数据责任人确认</x:v>
      </x:c>
      <x:c r="Q69" s="11" t="str">
        <x:v>待确认：适用性、字段、口径版本、目标与授权范围</x:v>
      </x:c>
    </x:row>
    <x:row r="70" ht="42" customHeight="1">
      <x:c r="A70" s="9" t="str">
        <x:v>SEC03</x:v>
      </x:c>
      <x:c r="B70" s="9" t="str">
        <x:v>保密与安全</x:v>
      </x:c>
      <x:c r="C70" s="9" t="str">
        <x:v>到期访问授权复核完成率</x:v>
      </x:c>
      <x:c r="D70" s="9" t="str">
        <x:v>二期候选</x:v>
      </x:c>
      <x:c r="E70" s="9" t="str">
        <x:v>专岗</x:v>
      </x:c>
      <x:c r="F70" s="9" t="str">
        <x:v>%</x:v>
      </x:c>
      <x:c r="G70" s="9" t="str">
        <x:v>本期应复核且按期完成权限及必要性复核的授权记录数÷本期应复核授权记录数×100%</x:v>
      </x:c>
      <x:c r="H70" s="9" t="str">
        <x:v>用户×资源×授权周期；授权域</x:v>
      </x:c>
      <x:c r="I70" s="9" t="str">
        <x:v>月；按业务时效可日刷新</x:v>
      </x:c>
      <x:c r="J70" s="9" t="str">
        <x:v>权限台账：授权ID、期限、复核结果、撤销记录</x:v>
      </x:c>
      <x:c r="K70" s="9" t="str">
        <x:v>保密及信息化部门</x:v>
      </x:c>
      <x:c r="L70" s="9" t="str">
        <x:v>角色权限和项目知悉范围同时检查；离岗变更撤权另查逾期例外</x:v>
      </x:c>
      <x:c r="M70" s="9" t="str">
        <x:v>仅保密/授权管理岗位；审批后汇总，明细留受控域</x:v>
      </x:c>
      <x:c r="N70" s="9" t="str">
        <x:v>补充建议</x:v>
      </x:c>
      <x:c r="O70" s="9" t="str">
        <x:v>参考依据见“参考表评审”及“评审结论”</x:v>
      </x:c>
      <x:c r="P70" s="11" t="str">
        <x:v>待业务与数据责任人确认</x:v>
      </x:c>
      <x:c r="Q70" s="11" t="str">
        <x:v>待确认：适用性、字段、口径版本、目标与授权范围</x:v>
      </x:c>
    </x:row>
    <x:row r="71" ht="42" customHeight="1">
      <x:c r="A71" s="4" t="str">
        <x:v>SEC04</x:v>
      </x:c>
      <x:c r="B71" s="4" t="str">
        <x:v>保密与安全</x:v>
      </x:c>
      <x:c r="C71" s="4" t="str">
        <x:v>受检导出记录审批符合率</x:v>
      </x:c>
      <x:c r="D71" s="4" t="str">
        <x:v>二期候选</x:v>
      </x:c>
      <x:c r="E71" s="4" t="str">
        <x:v>专岗</x:v>
      </x:c>
      <x:c r="F71" s="4" t="str">
        <x:v>%</x:v>
      </x:c>
      <x:c r="G71" s="4" t="str">
        <x:v>本期受检导出中审批对象、范围、接收方及用途均匹配的记录数÷本期受检导出记录数×100%</x:v>
      </x:c>
      <x:c r="H71" s="4" t="str">
        <x:v>导出事件；检查范围和抽样量披露</x:v>
      </x:c>
      <x:c r="I71" s="4" t="str">
        <x:v>月；按业务时效可日刷新</x:v>
      </x:c>
      <x:c r="J71" s="4" t="str">
        <x:v>审批/审计：导出ID、审批ID、对象范围、接收方</x:v>
      </x:c>
      <x:c r="K71" s="4" t="str">
        <x:v>保密及信息化部门</x:v>
      </x:c>
      <x:c r="L71" s="4" t="str">
        <x:v>抽检结论不推断全量；无审批/审计日志列不可评价，不报100%</x:v>
      </x:c>
      <x:c r="M71" s="4" t="str">
        <x:v>仅保密/授权管理岗位；审批后汇总，明细留受控域</x:v>
      </x:c>
      <x:c r="N71" s="4" t="str">
        <x:v>补充建议</x:v>
      </x:c>
      <x:c r="O71" s="4" t="str">
        <x:v>参考依据见“参考表评审”及“评审结论”</x:v>
      </x:c>
      <x:c r="P71" s="11" t="str">
        <x:v>待业务与数据责任人确认</x:v>
      </x:c>
      <x:c r="Q71" s="11" t="str">
        <x:v>待确认：适用性、字段、口径版本、目标与授权范围</x:v>
      </x:c>
    </x:row>
    <x:row r="72" ht="42" customHeight="1">
      <x:c r="A72" s="9" t="str">
        <x:v>SEC05</x:v>
      </x:c>
      <x:c r="B72" s="9" t="str">
        <x:v>保密与安全</x:v>
      </x:c>
      <x:c r="C72" s="9" t="str">
        <x:v>到期安全隐患按期复核关闭率</x:v>
      </x:c>
      <x:c r="D72" s="9" t="str">
        <x:v>二期候选</x:v>
      </x:c>
      <x:c r="E72" s="9" t="str">
        <x:v>否</x:v>
      </x:c>
      <x:c r="F72" s="9" t="str">
        <x:v>%</x:v>
      </x:c>
      <x:c r="G72" s="9" t="str">
        <x:v>本期到期且按期经复核消除的安全隐患数÷本期到期应整改隐患数×100%</x:v>
      </x:c>
      <x:c r="H72" s="9" t="str">
        <x:v>隐患ID×到期日；责任区域</x:v>
      </x:c>
      <x:c r="I72" s="9" t="str">
        <x:v>日采集/月汇总</x:v>
      </x:c>
      <x:c r="J72" s="9" t="str">
        <x:v>安全台账：等级、期限、整改、复核日</x:v>
      </x:c>
      <x:c r="K72" s="9" t="str">
        <x:v>安全管理部门</x:v>
      </x:c>
      <x:c r="L72" s="9" t="str">
        <x:v>重大隐患另列，不以加权平均抵消；参考模型分母应改为到期集合</x:v>
      </x:c>
      <x:c r="M72" s="9" t="str">
        <x:v>按项目知悉范围/部门授权；汇总、下钻、导出均需审查</x:v>
      </x:c>
      <x:c r="N72" s="9" t="str">
        <x:v>补充建议</x:v>
      </x:c>
      <x:c r="O72" s="9" t="str">
        <x:v>参考依据见“参考表评审”及“评审结论”</x:v>
      </x:c>
      <x:c r="P72" s="11" t="str">
        <x:v>待业务与数据责任人确认</x:v>
      </x:c>
      <x:c r="Q72" s="11" t="str">
        <x:v>待确认：适用性、字段、口径版本、目标与授权范围</x:v>
      </x:c>
    </x:row>
    <x:row r="73" ht="42" customHeight="1">
      <x:c r="A73" s="4" t="str">
        <x:v>DAT01</x:v>
      </x:c>
      <x:c r="B73" s="4" t="str">
        <x:v>数据可信</x:v>
      </x:c>
      <x:c r="C73" s="4" t="str">
        <x:v>核心指标数据按期就绪率</x:v>
      </x:c>
      <x:c r="D73" s="4" t="str">
        <x:v>一期候选</x:v>
      </x:c>
      <x:c r="E73" s="4" t="str">
        <x:v>否</x:v>
      </x:c>
      <x:c r="F73" s="4" t="str">
        <x:v>%</x:v>
      </x:c>
      <x:c r="G73" s="4" t="str">
        <x:v>本期应刷新且按期完成取数、校验与责任确认的指标实例数÷本期应刷新指标实例数×100%</x:v>
      </x:c>
      <x:c r="H73" s="4" t="str">
        <x:v>指标编码×授权范围×统计期</x:v>
      </x:c>
      <x:c r="I73" s="4" t="str">
        <x:v>月；按业务时效可日刷新</x:v>
      </x:c>
      <x:c r="J73" s="4" t="str">
        <x:v>指标台账：刷新截止、取数状态、校验、确认</x:v>
      </x:c>
      <x:c r="K73" s="4" t="str">
        <x:v>信息化及业务归口</x:v>
      </x:c>
      <x:c r="L73" s="4" t="str">
        <x:v>系统成功不等于业务数据就绪；缺数、未关账、超时分别标记</x:v>
      </x:c>
      <x:c r="M73" s="4" t="str">
        <x:v>按项目知悉范围/部门授权；汇总、下钻、导出均需审查</x:v>
      </x:c>
      <x:c r="N73" s="4" t="str">
        <x:v>补充建议</x:v>
      </x:c>
      <x:c r="O73" s="4" t="str">
        <x:v>参考依据见“参考表评审”及“评审结论”</x:v>
      </x:c>
      <x:c r="P73" s="11" t="str">
        <x:v>待业务与数据责任人确认</x:v>
      </x:c>
      <x:c r="Q73" s="11" t="str">
        <x:v>待确认：适用性、字段、口径版本、目标与授权范围</x:v>
      </x:c>
    </x:row>
    <x:row r="74" ht="42" customHeight="1">
      <x:c r="A74" s="9" t="str">
        <x:v>DAT02</x:v>
      </x:c>
      <x:c r="B74" s="9" t="str">
        <x:v>数据可信</x:v>
      </x:c>
      <x:c r="C74" s="9" t="str">
        <x:v>库存账实账账未解决差异数</x:v>
      </x:c>
      <x:c r="D74" s="9" t="str">
        <x:v>一期候选</x:v>
      </x:c>
      <x:c r="E74" s="9" t="str">
        <x:v>否</x:v>
      </x:c>
      <x:c r="F74" s="9" t="str">
        <x:v>项</x:v>
      </x:c>
      <x:c r="G74" s="9" t="str">
        <x:v>期末ERP库存、仓储记录及财务存货对账仍未解释关闭的差异ID去重数</x:v>
      </x:c>
      <x:c r="H74" s="9" t="str">
        <x:v>差异ID×期末；仓库、差异类型</x:v>
      </x:c>
      <x:c r="I74" s="9" t="str">
        <x:v>月；按业务时效可日刷新</x:v>
      </x:c>
      <x:c r="J74" s="9" t="str">
        <x:v>ERP/WMS/财务：对账范围、差异、责任、关闭记录</x:v>
      </x:c>
      <x:c r="K74" s="9" t="str">
        <x:v>物资及财务部门</x:v>
      </x:c>
      <x:c r="L74" s="9" t="str">
        <x:v>先明确对账覆盖范围；无对账不能填零，需显示尚未对账</x:v>
      </x:c>
      <x:c r="M74" s="9" t="str">
        <x:v>按项目知悉范围/部门授权；汇总、下钻、导出均需审查</x:v>
      </x:c>
      <x:c r="N74" s="9" t="str">
        <x:v>补充建议</x:v>
      </x:c>
      <x:c r="O74" s="9" t="str">
        <x:v>参考依据见“参考表评审”及“评审结论”</x:v>
      </x:c>
      <x:c r="P74" s="11" t="str">
        <x:v>待业务与数据责任人确认</x:v>
      </x:c>
      <x:c r="Q74" s="11" t="str">
        <x:v>待确认：适用性、字段、口径版本、目标与授权范围</x:v>
      </x:c>
    </x:row>
  </x:sheetData>
  <x:dataValidations count="1">
    <x:dataValidation type="list" sqref="P5:P74">
      <x:formula1>"待业务与数据责任人确认,已确认口径待验数,已验数待审批,批准启用,不适用"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a99e6bdbb84cc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0" hidden="0" customWidth="1"/>
    <x:col min="5" max="5" width="48" hidden="0" customWidth="1"/>
    <x:col min="6" max="6" width="60" hidden="0" customWidth="1"/>
    <x:col min="7" max="7" width="30" hidden="0" customWidth="1"/>
    <x:col min="8" max="8" width="20" hidden="0" customWidth="1"/>
    <x:col min="9" max="9" width="45" hidden="0" customWidth="1"/>
    <x:col min="10" max="10" width="28" hidden="0" customWidth="1"/>
    <x:col min="11" max="11" width="20" hidden="0" customWidth="1"/>
    <x:col min="12" max="12" width="25" hidden="0" customWidth="1"/>
    <x:col min="13" max="13" width="44" hidden="0" customWidth="1"/>
    <x:col min="14" max="14" width="76" hidden="0" customWidth="1"/>
  </x:cols>
  <x:sheetData>
    <x:row r="2">
      <x:c r="A2" s="1" t="str">
        <x:v>原表84条逐项映射 · 原定义与公式保留用于核对</x:v>
      </x:c>
    </x:row>
    <x:row r="4" ht="32" customHeight="1">
      <x:c r="A4" s="8" t="str">
        <x:v>原工作表</x:v>
      </x:c>
      <x:c r="B4" s="8" t="str">
        <x:v>Excel行号</x:v>
      </x:c>
      <x:c r="C4" s="8" t="str">
        <x:v>原序号</x:v>
      </x:c>
      <x:c r="D4" s="8" t="str">
        <x:v>原指标名称</x:v>
      </x:c>
      <x:c r="E4" s="8" t="str">
        <x:v>原指标定义</x:v>
      </x:c>
      <x:c r="F4" s="8" t="str">
        <x:v>原计算公式</x:v>
      </x:c>
      <x:c r="G4" s="8" t="str">
        <x:v>原统计维度</x:v>
      </x:c>
      <x:c r="H4" s="8" t="str">
        <x:v>原更新频率</x:v>
      </x:c>
      <x:c r="I4" s="8" t="str">
        <x:v>原所需数据项</x:v>
      </x:c>
      <x:c r="J4" s="8" t="str">
        <x:v>原数据来源</x:v>
      </x:c>
      <x:c r="K4" s="8" t="str">
        <x:v>处置建议</x:v>
      </x:c>
      <x:c r="L4" s="8" t="str">
        <x:v>建议指标编码</x:v>
      </x:c>
      <x:c r="M4" s="8" t="str">
        <x:v>建议名称</x:v>
      </x:c>
      <x:c r="N4" s="8" t="str">
        <x:v>具体评审意见</x:v>
      </x:c>
    </x:row>
    <x:row r="5" ht="42" customHeight="1">
      <x:c r="A5" s="4" t="str">
        <x:v>驾驶舱</x:v>
      </x:c>
      <x:c r="B5" s="4" t="n">
        <x:v>2</x:v>
      </x:c>
      <x:c r="C5" s="4" t="n">
        <x:v>1</x:v>
      </x:c>
      <x:c r="D5" s="4" t="str">
        <x:v>项目立项数</x:v>
      </x:c>
      <x:c r="E5" s="4" t="str">
        <x:v>某周期内新立项项目数量</x:v>
      </x:c>
      <x:c r="F5" s="4" t="str">
        <x:v>统计周期内新建项目数量</x:v>
      </x:c>
      <x:c r="G5" s="4" t="str">
        <x:v>时间、部门、类型</x:v>
      </x:c>
      <x:c r="H5" s="4" t="str">
        <x:v>月</x:v>
      </x:c>
      <x:c r="I5" s="4" t="str">
        <x:v>项目编号、立项日期、部门、类型</x:v>
      </x:c>
      <x:c r="J5" s="4" t="str">
        <x:v>项目管理系统</x:v>
      </x:c>
      <x:c r="K5" s="4" t="str">
        <x:v>修订口径</x:v>
      </x:c>
      <x:c r="L5" s="4" t="str">
        <x:v>PRJ01</x:v>
      </x:c>
      <x:c r="M5" s="4" t="str">
        <x:v>批准立项项目数</x:v>
      </x:c>
      <x:c r="N5" s="4" t="str">
        <x:v>系统新建时间不能替代批准立项时间；父子项目选择同一层级</x:v>
      </x:c>
    </x:row>
    <x:row r="6" ht="42" customHeight="1">
      <x:c r="A6" s="9" t="str">
        <x:v>驾驶舱</x:v>
      </x:c>
      <x:c r="B6" s="9" t="n">
        <x:v>3</x:v>
      </x:c>
      <x:c r="C6" s="9" t="n">
        <x:v>2</x:v>
      </x:c>
      <x:c r="D6" s="9" t="str">
        <x:v>项目结题率</x:v>
      </x:c>
      <x:c r="E6" s="9" t="str">
        <x:v>某周期内已结题项目占比</x:v>
      </x:c>
      <x:c r="F6" s="9" t="str">
        <x:v>结题项目数 ÷ 立项项目总数 × 100%</x:v>
      </x:c>
      <x:c r="G6" s="9" t="str">
        <x:v>时间、部门、类型</x:v>
      </x:c>
      <x:c r="H6" s="9" t="str">
        <x:v>月</x:v>
      </x:c>
      <x:c r="I6" s="9" t="str">
        <x:v>项目结题状态、立项数</x:v>
      </x:c>
      <x:c r="J6" s="9" t="str">
        <x:v>项目管理系统</x:v>
      </x:c>
      <x:c r="K6" s="9" t="str">
        <x:v>修订口径</x:v>
      </x:c>
      <x:c r="L6" s="9" t="str">
        <x:v>PRJ02</x:v>
      </x:c>
      <x:c r="M6" s="9" t="str">
        <x:v>到期项目按期结题率</x:v>
      </x:c>
      <x:c r="N6" s="9" t="str">
        <x:v>替换结题数÷立项数；逾期未结题进入分母；冻结原始及批准调整基线</x:v>
      </x:c>
    </x:row>
    <x:row r="7" ht="42" customHeight="1">
      <x:c r="A7" s="4" t="str">
        <x:v>驾驶舱</x:v>
      </x:c>
      <x:c r="B7" s="4" t="n">
        <x:v>4</x:v>
      </x:c>
      <x:c r="C7" s="4" t="n">
        <x:v>3</x:v>
      </x:c>
      <x:c r="D7" s="4" t="str">
        <x:v>里程碑准时率</x:v>
      </x:c>
      <x:c r="E7" s="4" t="str">
        <x:v>关键里程碑节点按时完成的比例</x:v>
      </x:c>
      <x:c r="F7" s="4" t="str">
        <x:v>按时完成里程碑数 ÷ 总应完成里程碑数 × 100%</x:v>
      </x:c>
      <x:c r="G7" s="4" t="str">
        <x:v>时间、项目、部门</x:v>
      </x:c>
      <x:c r="H7" s="4" t="str">
        <x:v>月</x:v>
      </x:c>
      <x:c r="I7" s="4" t="str">
        <x:v>计划完成日期、实际完成日期</x:v>
      </x:c>
      <x:c r="J7" s="4" t="str">
        <x:v>项目管理系统</x:v>
      </x:c>
      <x:c r="K7" s="4" t="str">
        <x:v>修订口径</x:v>
      </x:c>
      <x:c r="L7" s="4" t="str">
        <x:v>PRJ03</x:v>
      </x:c>
      <x:c r="M7" s="4" t="str">
        <x:v>到期里程碑按期完成率</x:v>
      </x:c>
      <x:c r="N7" s="4" t="str">
        <x:v>未完成到期节点不可遗漏；关键节点单列，不用普通节点稀释</x:v>
      </x:c>
    </x:row>
    <x:row r="8" ht="42" customHeight="1">
      <x:c r="A8" s="9" t="str">
        <x:v>驾驶舱</x:v>
      </x:c>
      <x:c r="B8" s="9" t="n">
        <x:v>5</x:v>
      </x:c>
      <x:c r="C8" s="9" t="n">
        <x:v>4</x:v>
      </x:c>
      <x:c r="D8" s="9" t="str">
        <x:v>平均执行周期</x:v>
      </x:c>
      <x:c r="E8" s="9" t="str">
        <x:v>项目从立项到结题的平均天数</x:v>
      </x:c>
      <x:c r="F8" s="9" t="str">
        <x:v>Σ（项目结题日-立项日） ÷ 项目数</x:v>
      </x:c>
      <x:c r="G8" s="9" t="str">
        <x:v>时间、部门、类型</x:v>
      </x:c>
      <x:c r="H8" s="9" t="str">
        <x:v>月</x:v>
      </x:c>
      <x:c r="I8" s="9" t="str">
        <x:v>立项日期、结题日期</x:v>
      </x:c>
      <x:c r="J8" s="9" t="str">
        <x:v>项目管理系统</x:v>
      </x:c>
      <x:c r="K8" s="9" t="str">
        <x:v>修订口径</x:v>
      </x:c>
      <x:c r="L8" s="9" t="str">
        <x:v>PRJ04</x:v>
      </x:c>
      <x:c r="M8" s="9" t="str">
        <x:v>结题项目平均执行周期</x:v>
      </x:c>
      <x:c r="N8" s="9" t="str">
        <x:v>仅代表已结题项目；在研老项目另看超期数，不跨类型排名</x:v>
      </x:c>
    </x:row>
    <x:row r="9" ht="42" customHeight="1">
      <x:c r="A9" s="4" t="str">
        <x:v>驾驶舱</x:v>
      </x:c>
      <x:c r="B9" s="4" t="n">
        <x:v>6</x:v>
      </x:c>
      <x:c r="C9" s="4" t="n">
        <x:v>5</x:v>
      </x:c>
      <x:c r="D9" s="4" t="str">
        <x:v>文档齐备率</x:v>
      </x:c>
      <x:c r="E9" s="4" t="str">
        <x:v>项目结题归档文档的齐全比例</x:v>
      </x:c>
      <x:c r="F9" s="4" t="str">
        <x:v>文档齐备项目数 ÷ 总结题项目数 × 100%</x:v>
      </x:c>
      <x:c r="G9" s="4" t="str">
        <x:v>时间、部门、类型</x:v>
      </x:c>
      <x:c r="H9" s="4" t="str">
        <x:v>月</x:v>
      </x:c>
      <x:c r="I9" s="4" t="str">
        <x:v>项目档案记录</x:v>
      </x:c>
      <x:c r="J9" s="4" t="str">
        <x:v>档案/项目系统</x:v>
      </x:c>
      <x:c r="K9" s="4" t="str">
        <x:v>修订口径</x:v>
      </x:c>
      <x:c r="L9" s="4" t="str">
        <x:v>PRJ05</x:v>
      </x:c>
      <x:c r="M9" s="4" t="str">
        <x:v>到期归档项目文档齐备率</x:v>
      </x:c>
      <x:c r="N9" s="4" t="str">
        <x:v>合并重复文档齐备率；清单须包含适用交付资料；齐备不等于及时</x:v>
      </x:c>
    </x:row>
    <x:row r="10" ht="42" customHeight="1">
      <x:c r="A10" s="9" t="str">
        <x:v>驾驶舱</x:v>
      </x:c>
      <x:c r="B10" s="9" t="n">
        <x:v>7</x:v>
      </x:c>
      <x:c r="C10" s="9" t="n">
        <x:v>6</x:v>
      </x:c>
      <x:c r="D10" s="9" t="str">
        <x:v>经费分布</x:v>
      </x:c>
      <x:c r="E10" s="9" t="str">
        <x:v>各项目类别经费投入的分布情况</x:v>
      </x:c>
      <x:c r="F10" s="9" t="str">
        <x:v>按项目类别汇总各经费金额</x:v>
      </x:c>
      <x:c r="G10" s="9" t="str">
        <x:v>时间、项目类别</x:v>
      </x:c>
      <x:c r="H10" s="9" t="str">
        <x:v>月</x:v>
      </x:c>
      <x:c r="I10" s="9" t="str">
        <x:v>项目类别、经费金额</x:v>
      </x:c>
      <x:c r="J10" s="9" t="str">
        <x:v>项目管理/财务</x:v>
      </x:c>
      <x:c r="K10" s="9" t="str">
        <x:v>修订口径</x:v>
      </x:c>
      <x:c r="L10" s="9" t="str">
        <x:v>PRJ06</x:v>
      </x:c>
      <x:c r="M10" s="9" t="str">
        <x:v>项目批准预算分布</x:v>
      </x:c>
      <x:c r="N10" s="9" t="str">
        <x:v>原经费分布未说明预算/支出；本指标只表达预算，父子层级不可重复加总</x:v>
      </x:c>
    </x:row>
    <x:row r="11" ht="42" customHeight="1">
      <x:c r="A11" s="4" t="str">
        <x:v>驾驶舱</x:v>
      </x:c>
      <x:c r="B11" s="4" t="n">
        <x:v>8</x:v>
      </x:c>
      <x:c r="C11" s="4" t="n">
        <x:v>7</x:v>
      </x:c>
      <x:c r="D11" s="4" t="str">
        <x:v>专利/论文数</x:v>
      </x:c>
      <x:c r="E11" s="4" t="str">
        <x:v>某周期内产出的专利和论文数量</x:v>
      </x:c>
      <x:c r="F11" s="4" t="str">
        <x:v>统计周期内专利、论文数量</x:v>
      </x:c>
      <x:c r="G11" s="4" t="str">
        <x:v>时间、部门</x:v>
      </x:c>
      <x:c r="H11" s="4" t="str">
        <x:v>月</x:v>
      </x:c>
      <x:c r="I11" s="4" t="str">
        <x:v>专利、论文登记数据</x:v>
      </x:c>
      <x:c r="J11" s="4" t="str">
        <x:v>知识产权系统</x:v>
      </x:c>
      <x:c r="K11" s="4" t="str">
        <x:v>拆分</x:v>
      </x:c>
      <x:c r="L11" s="4" t="str">
        <x:v>PRJ07、PRJ08</x:v>
      </x:c>
      <x:c r="M11" s="4" t="str">
        <x:v>当期授权专利数；经审查公开发表论文数</x:v>
      </x:c>
      <x:c r="N11" s="4" t="str">
        <x:v>从专利/论文数拆出；不与申请数混算，不作为单独绩效排名；涉密成果不因不能公开而扣分；不得将内部报告当公开论文</x:v>
      </x:c>
    </x:row>
    <x:row r="12" ht="42" customHeight="1">
      <x:c r="A12" s="9" t="str">
        <x:v>驾驶舱</x:v>
      </x:c>
      <x:c r="B12" s="9" t="n">
        <x:v>9</x:v>
      </x:c>
      <x:c r="C12" s="9" t="n">
        <x:v>8</x:v>
      </x:c>
      <x:c r="D12" s="9" t="str">
        <x:v>成果转化合同额</x:v>
      </x:c>
      <x:c r="E12" s="9" t="str">
        <x:v>某周期内成果转化签约合同总金额</x:v>
      </x:c>
      <x:c r="F12" s="9" t="str">
        <x:v>统计周期内相关合同金额总和</x:v>
      </x:c>
      <x:c r="G12" s="9" t="str">
        <x:v>时间、合同类型</x:v>
      </x:c>
      <x:c r="H12" s="9" t="str">
        <x:v>月</x:v>
      </x:c>
      <x:c r="I12" s="9" t="str">
        <x:v>合同金额、合同类型、签约日期</x:v>
      </x:c>
      <x:c r="J12" s="9" t="str">
        <x:v>合同/成果系统</x:v>
      </x:c>
      <x:c r="K12" s="9" t="str">
        <x:v>修订口径</x:v>
      </x:c>
      <x:c r="L12" s="9" t="str">
        <x:v>PRJ09</x:v>
      </x:c>
      <x:c r="M12" s="9" t="str">
        <x:v>生效成果转化合同净额</x:v>
      </x:c>
      <x:c r="N12" s="9" t="str">
        <x:v>合同额不是收入或回款；不以公开交易规模评价全部科研成果</x:v>
      </x:c>
    </x:row>
    <x:row r="13" ht="42" customHeight="1">
      <x:c r="A13" s="4" t="str">
        <x:v>驾驶舱</x:v>
      </x:c>
      <x:c r="B13" s="4" t="n">
        <x:v>10</x:v>
      </x:c>
      <x:c r="C13" s="4" t="n">
        <x:v>9</x:v>
      </x:c>
      <x:c r="D13" s="4" t="str">
        <x:v>总收入</x:v>
      </x:c>
      <x:c r="E13" s="4" t="str">
        <x:v>某周期内全部收入总额</x:v>
      </x:c>
      <x:c r="F13" s="4" t="str">
        <x:v>汇总全部收入科目</x:v>
      </x:c>
      <x:c r="G13" s="4" t="str">
        <x:v>时间、部门</x:v>
      </x:c>
      <x:c r="H13" s="4" t="str">
        <x:v>月</x:v>
      </x:c>
      <x:c r="I13" s="4" t="str">
        <x:v>各收入科目金额</x:v>
      </x:c>
      <x:c r="J13" s="4" t="str">
        <x:v>财务系统</x:v>
      </x:c>
      <x:c r="K13" s="4" t="str">
        <x:v>修订口径</x:v>
      </x:c>
      <x:c r="L13" s="4" t="str">
        <x:v>FIN01</x:v>
      </x:c>
      <x:c r="M13" s="4" t="str">
        <x:v>当期确认收入</x:v>
      </x:c>
      <x:c r="N13" s="4" t="str">
        <x:v>限定适用会计制度；不把拨款到账、合同额直接当收入</x:v>
      </x:c>
    </x:row>
    <x:row r="14" ht="42" customHeight="1">
      <x:c r="A14" s="9" t="str">
        <x:v>驾驶舱</x:v>
      </x:c>
      <x:c r="B14" s="9" t="n">
        <x:v>11</x:v>
      </x:c>
      <x:c r="C14" s="9" t="n">
        <x:v>10</x:v>
      </x:c>
      <x:c r="D14" s="9" t="str">
        <x:v>总支出</x:v>
      </x:c>
      <x:c r="E14" s="9" t="str">
        <x:v>某周期内全部支出总额</x:v>
      </x:c>
      <x:c r="F14" s="9" t="str">
        <x:v>汇总全部支出科目</x:v>
      </x:c>
      <x:c r="G14" s="9" t="str">
        <x:v>时间、部门</x:v>
      </x:c>
      <x:c r="H14" s="9" t="str">
        <x:v>月</x:v>
      </x:c>
      <x:c r="I14" s="9" t="str">
        <x:v>各支出科目金额</x:v>
      </x:c>
      <x:c r="J14" s="9" t="str">
        <x:v>财务系统</x:v>
      </x:c>
      <x:c r="K14" s="9" t="str">
        <x:v>修订口径</x:v>
      </x:c>
      <x:c r="L14" s="9" t="str">
        <x:v>FIN02</x:v>
      </x:c>
      <x:c r="M14" s="9" t="str">
        <x:v>当期费用及成本</x:v>
      </x:c>
      <x:c r="N14" s="9" t="str">
        <x:v>原总支出易混合现金支付与费用；本口径不含购置资产现金全额</x:v>
      </x:c>
    </x:row>
    <x:row r="15" ht="42" customHeight="1">
      <x:c r="A15" s="4" t="str">
        <x:v>驾驶舱</x:v>
      </x:c>
      <x:c r="B15" s="4" t="n">
        <x:v>12</x:v>
      </x:c>
      <x:c r="C15" s="4" t="n">
        <x:v>11</x:v>
      </x:c>
      <x:c r="D15" s="4" t="str">
        <x:v>净结余</x:v>
      </x:c>
      <x:c r="E15" s="4" t="str">
        <x:v>收入减去支出的余额</x:v>
      </x:c>
      <x:c r="F15" s="4" t="str">
        <x:v>总收入 - 总支出</x:v>
      </x:c>
      <x:c r="G15" s="4" t="str">
        <x:v>时间、部门</x:v>
      </x:c>
      <x:c r="H15" s="4" t="str">
        <x:v>月</x:v>
      </x:c>
      <x:c r="I15" s="4" t="str">
        <x:v>总收入、总支出</x:v>
      </x:c>
      <x:c r="J15" s="4" t="str">
        <x:v>财务系统</x:v>
      </x:c>
      <x:c r="K15" s="4" t="str">
        <x:v>修订口径</x:v>
      </x:c>
      <x:c r="L15" s="4" t="str">
        <x:v>FIN03</x:v>
      </x:c>
      <x:c r="M15" s="4" t="str">
        <x:v>当期收支差额（管理口径）</x:v>
      </x:c>
      <x:c r="N15" s="4" t="str">
        <x:v>不直接称净利润或法定净结余；法定报表指标按适用制度另行映射</x:v>
      </x:c>
    </x:row>
    <x:row r="16" ht="42" customHeight="1">
      <x:c r="A16" s="9" t="str">
        <x:v>驾驶舱</x:v>
      </x:c>
      <x:c r="B16" s="9" t="n">
        <x:v>13</x:v>
      </x:c>
      <x:c r="C16" s="9" t="n">
        <x:v>12</x:v>
      </x:c>
      <x:c r="D16" s="9" t="str">
        <x:v>单位产出成本</x:v>
      </x:c>
      <x:c r="E16" s="9" t="str">
        <x:v>单件产品/项目平均制造成本</x:v>
      </x:c>
      <x:c r="F16" s="9" t="str">
        <x:v>制造总成本 ÷ 产出总量</x:v>
      </x:c>
      <x:c r="G16" s="9" t="str">
        <x:v>时间、产品</x:v>
      </x:c>
      <x:c r="H16" s="9" t="str">
        <x:v>月</x:v>
      </x:c>
      <x:c r="I16" s="9" t="str">
        <x:v>总成本、产出数量</x:v>
      </x:c>
      <x:c r="J16" s="9" t="str">
        <x:v>财务/生产系统</x:v>
      </x:c>
      <x:c r="K16" s="9" t="str">
        <x:v>修订口径</x:v>
      </x:c>
      <x:c r="L16" s="9" t="str">
        <x:v>FIN04</x:v>
      </x:c>
      <x:c r="M16" s="9" t="str">
        <x:v>同类合格产品单位制造成本</x:v>
      </x:c>
      <x:c r="N16" s="9" t="str">
        <x:v>合并单位产出成本与单位制造成本；科研项目不得以项目数充当产量</x:v>
      </x:c>
    </x:row>
    <x:row r="17" ht="42" customHeight="1">
      <x:c r="A17" s="4" t="str">
        <x:v>驾驶舱</x:v>
      </x:c>
      <x:c r="B17" s="4" t="n">
        <x:v>14</x:v>
      </x:c>
      <x:c r="C17" s="4" t="n">
        <x:v>13</x:v>
      </x:c>
      <x:c r="D17" s="4" t="str">
        <x:v>固定资产ROI</x:v>
      </x:c>
      <x:c r="E17" s="4" t="str">
        <x:v>固定资产投资回报率</x:v>
      </x:c>
      <x:c r="F17" s="4" t="str">
        <x:v>固定资产收益 ÷ 固定资产净值 × 100%</x:v>
      </x:c>
      <x:c r="G17" s="4" t="str">
        <x:v>时间、资产类别</x:v>
      </x:c>
      <x:c r="H17" s="4" t="str">
        <x:v>季度</x:v>
      </x:c>
      <x:c r="I17" s="4" t="str">
        <x:v>固定资产净值、收益</x:v>
      </x:c>
      <x:c r="J17" s="4" t="str">
        <x:v>财务/资产系统</x:v>
      </x:c>
      <x:c r="K17" s="4" t="str">
        <x:v>替换</x:v>
      </x:c>
      <x:c r="L17" s="4" t="str">
        <x:v>FIN05</x:v>
      </x:c>
      <x:c r="M17" s="4" t="str">
        <x:v>科研试验设备有效利用率</x:v>
      </x:c>
      <x:c r="N17" s="4" t="str">
        <x:v>替代固定资产ROI；战略备用设备单列，不因低利用率简单淘汰</x:v>
      </x:c>
    </x:row>
    <x:row r="18" ht="42" customHeight="1">
      <x:c r="A18" s="9" t="str">
        <x:v>驾驶舱</x:v>
      </x:c>
      <x:c r="B18" s="9" t="n">
        <x:v>15</x:v>
      </x:c>
      <x:c r="C18" s="9" t="n">
        <x:v>14</x:v>
      </x:c>
      <x:c r="D18" s="9" t="str">
        <x:v>三公经费偏差</x:v>
      </x:c>
      <x:c r="E18" s="9" t="str">
        <x:v>实际三公经费与预算差异</x:v>
      </x:c>
      <x:c r="F18" s="9" t="str">
        <x:v>(实际 - 预算) ÷ 预算 × 100%</x:v>
      </x:c>
      <x:c r="G18" s="9" t="str">
        <x:v>时间、部门</x:v>
      </x:c>
      <x:c r="H18" s="9" t="str">
        <x:v>月</x:v>
      </x:c>
      <x:c r="I18" s="9" t="str">
        <x:v>实际、预算金额</x:v>
      </x:c>
      <x:c r="J18" s="9" t="str">
        <x:v>财务/预算系统</x:v>
      </x:c>
      <x:c r="K18" s="9" t="str">
        <x:v>修订口径</x:v>
      </x:c>
      <x:c r="L18" s="9" t="str">
        <x:v>FIN06</x:v>
      </x:c>
      <x:c r="M18" s="9" t="str">
        <x:v>三公经费预算偏差率（适用时）</x:v>
      </x:c>
      <x:c r="N18" s="9" t="str">
        <x:v>适用范围须财务确认；零预算发生支出另报金额异常，不算百分比</x:v>
      </x:c>
    </x:row>
    <x:row r="19" ht="42" customHeight="1">
      <x:c r="A19" s="4" t="str">
        <x:v>驾驶舱</x:v>
      </x:c>
      <x:c r="B19" s="4" t="n">
        <x:v>16</x:v>
      </x:c>
      <x:c r="C19" s="4" t="n">
        <x:v>15</x:v>
      </x:c>
      <x:c r="D19" s="4" t="str">
        <x:v>采购价格指数</x:v>
      </x:c>
      <x:c r="E19" s="4" t="str">
        <x:v>代表性采购物资均价变动趋势</x:v>
      </x:c>
      <x:c r="F19" s="4" t="str">
        <x:v>统计代表物资采购均价形成指数</x:v>
      </x:c>
      <x:c r="G19" s="4" t="str">
        <x:v>时间、物资类别</x:v>
      </x:c>
      <x:c r="H19" s="4" t="str">
        <x:v>月</x:v>
      </x:c>
      <x:c r="I19" s="4" t="str">
        <x:v>采购单价、采购物资</x:v>
      </x:c>
      <x:c r="J19" s="4" t="str">
        <x:v>采购/ERP系统</x:v>
      </x:c>
      <x:c r="K19" s="4" t="str">
        <x:v>修订口径</x:v>
      </x:c>
      <x:c r="L19" s="4" t="str">
        <x:v>FIN07</x:v>
      </x:c>
      <x:c r="M19" s="4" t="str">
        <x:v>同质可比采购价格指数</x:v>
      </x:c>
      <x:c r="N19" s="4" t="str">
        <x:v>基期为100；缺少可比样本不硬算；定制研制件不与通用件直接比价</x:v>
      </x:c>
    </x:row>
    <x:row r="20" ht="42" customHeight="1">
      <x:c r="A20" s="9" t="str">
        <x:v>驾驶舱</x:v>
      </x:c>
      <x:c r="B20" s="9" t="n">
        <x:v>17</x:v>
      </x:c>
      <x:c r="C20" s="9" t="n">
        <x:v>16</x:v>
      </x:c>
      <x:c r="D20" s="9" t="str">
        <x:v>科研/技术/管理占比</x:v>
      </x:c>
      <x:c r="E20" s="9" t="str">
        <x:v>各类岗位人数占比</x:v>
      </x:c>
      <x:c r="F20" s="9" t="str">
        <x:v>各岗位类别人数 ÷ 员工总数 × 100%</x:v>
      </x:c>
      <x:c r="G20" s="9" t="str">
        <x:v>时间、岗位类别</x:v>
      </x:c>
      <x:c r="H20" s="9" t="str">
        <x:v>月</x:v>
      </x:c>
      <x:c r="I20" s="9" t="str">
        <x:v>员工岗位类别、总人数</x:v>
      </x:c>
      <x:c r="J20" s="9" t="str">
        <x:v>HR系统</x:v>
      </x:c>
      <x:c r="K20" s="9" t="str">
        <x:v>修订口径</x:v>
      </x:c>
      <x:c r="L20" s="9" t="str">
        <x:v>HR01</x:v>
      </x:c>
      <x:c r="M20" s="9" t="str">
        <x:v>期末岗位类别人数占比</x:v>
      </x:c>
      <x:c r="N20" s="9" t="str">
        <x:v>科研/技术/管理分类应互斥穷尽；兼职只按确定主岗位统计</x:v>
      </x:c>
    </x:row>
    <x:row r="21" ht="42" customHeight="1">
      <x:c r="A21" s="4" t="str">
        <x:v>驾驶舱</x:v>
      </x:c>
      <x:c r="B21" s="4" t="n">
        <x:v>18</x:v>
      </x:c>
      <x:c r="C21" s="4" t="n">
        <x:v>17</x:v>
      </x:c>
      <x:c r="D21" s="4" t="str">
        <x:v>核心人才流失率</x:v>
      </x:c>
      <x:c r="E21" s="4" t="str">
        <x:v>关键岗位核心人才的流失比例</x:v>
      </x:c>
      <x:c r="F21" s="4" t="str">
        <x:v>期间离职核心人数 ÷ 核心岗位总人数 × 100%</x:v>
      </x:c>
      <x:c r="G21" s="4" t="str">
        <x:v>时间、部门</x:v>
      </x:c>
      <x:c r="H21" s="4" t="str">
        <x:v>月</x:v>
      </x:c>
      <x:c r="I21" s="4" t="str">
        <x:v>离职信息、核心岗位人数</x:v>
      </x:c>
      <x:c r="J21" s="4" t="str">
        <x:v>HR系统</x:v>
      </x:c>
      <x:c r="K21" s="4" t="str">
        <x:v>修订口径</x:v>
      </x:c>
      <x:c r="L21" s="4" t="str">
        <x:v>HR02</x:v>
      </x:c>
      <x:c r="M21" s="4" t="str">
        <x:v>核心人才主动离职率</x:v>
      </x:c>
      <x:c r="N21" s="4" t="str">
        <x:v>核心名录先冻结；退休、内部调动与主动离职分开；小样本限制展示</x:v>
      </x:c>
    </x:row>
    <x:row r="22" ht="42" customHeight="1">
      <x:c r="A22" s="9" t="str">
        <x:v>驾驶舱</x:v>
      </x:c>
      <x:c r="B22" s="9" t="n">
        <x:v>19</x:v>
      </x:c>
      <x:c r="C22" s="9" t="n">
        <x:v>18</x:v>
      </x:c>
      <x:c r="D22" s="9" t="str">
        <x:v>关键岗位空缺天数</x:v>
      </x:c>
      <x:c r="E22" s="9" t="str">
        <x:v>关键岗位出现空缺的累计天数</x:v>
      </x:c>
      <x:c r="F22" s="9" t="str">
        <x:v>Σ（岗位空缺天数）</x:v>
      </x:c>
      <x:c r="G22" s="9" t="str">
        <x:v>岗位、部门、时间</x:v>
      </x:c>
      <x:c r="H22" s="9" t="str">
        <x:v>月</x:v>
      </x:c>
      <x:c r="I22" s="9" t="str">
        <x:v>岗位空缺时间、岗位编号</x:v>
      </x:c>
      <x:c r="J22" s="9" t="str">
        <x:v>HR系统</x:v>
      </x:c>
      <x:c r="K22" s="9" t="str">
        <x:v>修订口径</x:v>
      </x:c>
      <x:c r="L22" s="9" t="str">
        <x:v>HR03</x:v>
      </x:c>
      <x:c r="M22" s="9" t="str">
        <x:v>关键岗位空缺人岗天数</x:v>
      </x:c>
      <x:c r="N22" s="9" t="str">
        <x:v>按缺口人数累计；同岗多名缺员不可只算一次；月末未补齐继续累计</x:v>
      </x:c>
    </x:row>
    <x:row r="23" ht="42" customHeight="1">
      <x:c r="A23" s="4" t="str">
        <x:v>驾驶舱</x:v>
      </x:c>
      <x:c r="B23" s="4" t="n">
        <x:v>20</x:v>
      </x:c>
      <x:c r="C23" s="4" t="n">
        <x:v>19</x:v>
      </x:c>
      <x:c r="D23" s="4" t="str">
        <x:v>人均薪酬</x:v>
      </x:c>
      <x:c r="E23" s="4" t="str">
        <x:v>员工人均薪酬水平</x:v>
      </x:c>
      <x:c r="F23" s="4" t="str">
        <x:v>总薪酬 ÷ 员工人数</x:v>
      </x:c>
      <x:c r="G23" s="4" t="str">
        <x:v>时间、部门</x:v>
      </x:c>
      <x:c r="H23" s="4" t="str">
        <x:v>月</x:v>
      </x:c>
      <x:c r="I23" s="4" t="str">
        <x:v>工资发放明细、员工名单</x:v>
      </x:c>
      <x:c r="J23" s="4" t="str">
        <x:v>HR/财务系统</x:v>
      </x:c>
      <x:c r="K23" s="4" t="str">
        <x:v>修订口径</x:v>
      </x:c>
      <x:c r="L23" s="4" t="str">
        <x:v>HR04</x:v>
      </x:c>
      <x:c r="M23" s="4" t="str">
        <x:v>人均应付薪酬</x:v>
      </x:c>
      <x:c r="N23" s="4" t="str">
        <x:v>不混用发放与计提；仅授权汇总，禁止通过小部门反推个人收入</x:v>
      </x:c>
    </x:row>
    <x:row r="24" ht="42" customHeight="1">
      <x:c r="A24" s="9" t="str">
        <x:v>驾驶舱</x:v>
      </x:c>
      <x:c r="B24" s="9" t="n">
        <x:v>21</x:v>
      </x:c>
      <x:c r="C24" s="9" t="n">
        <x:v>20</x:v>
      </x:c>
      <x:c r="D24" s="9" t="str">
        <x:v>人均科研产出</x:v>
      </x:c>
      <x:c r="E24" s="9" t="str">
        <x:v>科研岗位人均产出</x:v>
      </x:c>
      <x:c r="F24" s="9" t="str">
        <x:v>科研成果总数 ÷ 科研岗位人数</x:v>
      </x:c>
      <x:c r="G24" s="9" t="str">
        <x:v>时间、部门</x:v>
      </x:c>
      <x:c r="H24" s="9" t="str">
        <x:v>月</x:v>
      </x:c>
      <x:c r="I24" s="9" t="str">
        <x:v>科研成果、岗位信息</x:v>
      </x:c>
      <x:c r="J24" s="9" t="str">
        <x:v>科研/HR系统</x:v>
      </x:c>
      <x:c r="K24" s="9" t="str">
        <x:v>替换</x:v>
      </x:c>
      <x:c r="L24" s="9" t="str">
        <x:v>HR05</x:v>
      </x:c>
      <x:c r="M24" s="9" t="str">
        <x:v>验收通过代表性成果数</x:v>
      </x:c>
      <x:c r="N24" s="9" t="str">
        <x:v>替代人均科研产出；质量与任务贡献同行评议，不把论文/专利简单相加</x:v>
      </x:c>
    </x:row>
    <x:row r="25" ht="42" customHeight="1">
      <x:c r="A25" s="4" t="str">
        <x:v>驾驶舱</x:v>
      </x:c>
      <x:c r="B25" s="4" t="n">
        <x:v>22</x:v>
      </x:c>
      <x:c r="C25" s="4" t="n">
        <x:v>21</x:v>
      </x:c>
      <x:c r="D25" s="4" t="str">
        <x:v>培训投入产出比</x:v>
      </x:c>
      <x:c r="E25" s="4" t="str">
        <x:v>培训带来的效益与成本比</x:v>
      </x:c>
      <x:c r="F25" s="4" t="str">
        <x:v>培训后产出提升额 ÷ 培训投入总额</x:v>
      </x:c>
      <x:c r="G25" s="4" t="str">
        <x:v>部门、时间</x:v>
      </x:c>
      <x:c r="H25" s="4" t="str">
        <x:v>季度/半年</x:v>
      </x:c>
      <x:c r="I25" s="4" t="str">
        <x:v>培训费用、业绩提升数据</x:v>
      </x:c>
      <x:c r="J25" s="4" t="str">
        <x:v>HR/培训系统</x:v>
      </x:c>
      <x:c r="K25" s="4" t="str">
        <x:v>替换</x:v>
      </x:c>
      <x:c r="L25" s="4" t="str">
        <x:v>HR06</x:v>
      </x:c>
      <x:c r="M25" s="4" t="str">
        <x:v>到期岗位能力认证通过率</x:v>
      </x:c>
      <x:c r="N25" s="4" t="str">
        <x:v>替代难归因的培训投入产出比；只计签到不能证明能力形成</x:v>
      </x:c>
    </x:row>
    <x:row r="26" ht="42" customHeight="1">
      <x:c r="A26" s="9" t="str">
        <x:v>驾驶舱</x:v>
      </x:c>
      <x:c r="B26" s="9" t="n">
        <x:v>23</x:v>
      </x:c>
      <x:c r="C26" s="9" t="n">
        <x:v>22</x:v>
      </x:c>
      <x:c r="D26" s="9" t="str">
        <x:v>供应商准时交付率</x:v>
      </x:c>
      <x:c r="E26" s="9" t="str">
        <x:v>供应商按时交货的比例</x:v>
      </x:c>
      <x:c r="F26" s="9" t="str">
        <x:v>按时交货数 ÷ 总交货数 × 100%</x:v>
      </x:c>
      <x:c r="G26" s="9" t="str">
        <x:v>时间、供应商</x:v>
      </x:c>
      <x:c r="H26" s="9" t="str">
        <x:v>月</x:v>
      </x:c>
      <x:c r="I26" s="9" t="str">
        <x:v>交货日期、计划日期、供应商编号</x:v>
      </x:c>
      <x:c r="J26" s="9" t="str">
        <x:v>采购/供应链系统</x:v>
      </x:c>
      <x:c r="K26" s="9" t="str">
        <x:v>修订口径</x:v>
      </x:c>
      <x:c r="L26" s="9" t="str">
        <x:v>SUP01</x:v>
      </x:c>
      <x:c r="M26" s="9" t="str">
        <x:v>到期采购交期按时足量到货率</x:v>
      </x:c>
      <x:c r="N26" s="9" t="str">
        <x:v>逾期未到货计分母；分批交期独立；验收合格另看QUA02</x:v>
      </x:c>
    </x:row>
    <x:row r="27" ht="42" customHeight="1">
      <x:c r="A27" s="4" t="str">
        <x:v>驾驶舱</x:v>
      </x:c>
      <x:c r="B27" s="4" t="n">
        <x:v>24</x:v>
      </x:c>
      <x:c r="C27" s="4" t="n">
        <x:v>23</x:v>
      </x:c>
      <x:c r="D27" s="4" t="str">
        <x:v>采购周期</x:v>
      </x:c>
      <x:c r="E27" s="4" t="str">
        <x:v>下单到收货的平均天数</x:v>
      </x:c>
      <x:c r="F27" s="4" t="str">
        <x:v>Σ（实际收货日 - 下单日）÷ 订单数</x:v>
      </x:c>
      <x:c r="G27" s="4" t="str">
        <x:v>时间、供应商、物料</x:v>
      </x:c>
      <x:c r="H27" s="4" t="str">
        <x:v>月</x:v>
      </x:c>
      <x:c r="I27" s="4" t="str">
        <x:v>下单日期、收货日期、订单号</x:v>
      </x:c>
      <x:c r="J27" s="4" t="str">
        <x:v>采购/ERP系统</x:v>
      </x:c>
      <x:c r="K27" s="4" t="str">
        <x:v>修订口径</x:v>
      </x:c>
      <x:c r="L27" s="4" t="str">
        <x:v>SUP02</x:v>
      </x:c>
      <x:c r="M27" s="4" t="str">
        <x:v>已收齐采购行平均到货周期</x:v>
      </x:c>
      <x:c r="N27" s="4" t="str">
        <x:v>只反映已收齐 cohort；未到货积压另看SUP11，避免快单偏差</x:v>
      </x:c>
    </x:row>
    <x:row r="28" ht="42" customHeight="1">
      <x:c r="A28" s="9" t="str">
        <x:v>驾驶舱</x:v>
      </x:c>
      <x:c r="B28" s="9" t="n">
        <x:v>25</x:v>
      </x:c>
      <x:c r="C28" s="9" t="n">
        <x:v>24</x:v>
      </x:c>
      <x:c r="D28" s="9" t="str">
        <x:v>价格偏差</x:v>
      </x:c>
      <x:c r="E28" s="9" t="str">
        <x:v>实际采购均价与参考价差异</x:v>
      </x:c>
      <x:c r="F28" s="9" t="str">
        <x:v>(实际采购均价 - 参考价) ÷ 参考价 × 100%</x:v>
      </x:c>
      <x:c r="G28" s="9" t="str">
        <x:v>时间、物料、供应商</x:v>
      </x:c>
      <x:c r="H28" s="9" t="str">
        <x:v>月</x:v>
      </x:c>
      <x:c r="I28" s="9" t="str">
        <x:v>采购单价、参考价、物料编号</x:v>
      </x:c>
      <x:c r="J28" s="9" t="str">
        <x:v>采购/ERP系统</x:v>
      </x:c>
      <x:c r="K28" s="9" t="str">
        <x:v>修订口径</x:v>
      </x:c>
      <x:c r="L28" s="9" t="str">
        <x:v>SUP03</x:v>
      </x:c>
      <x:c r="M28" s="9" t="str">
        <x:v>同质采购价格偏差率</x:v>
      </x:c>
      <x:c r="N28" s="9" t="str">
        <x:v>不以降价抵消质量/保密要求；币种税口径一致；无参考价不计算</x:v>
      </x:c>
    </x:row>
    <x:row r="29" ht="42" customHeight="1">
      <x:c r="A29" s="4" t="str">
        <x:v>驾驶舱</x:v>
      </x:c>
      <x:c r="B29" s="4" t="n">
        <x:v>26</x:v>
      </x:c>
      <x:c r="C29" s="4" t="n">
        <x:v>25</x:v>
      </x:c>
      <x:c r="D29" s="4" t="str">
        <x:v>供应商评分</x:v>
      </x:c>
      <x:c r="E29" s="4" t="str">
        <x:v>综合评定供应商能力得分</x:v>
      </x:c>
      <x:c r="F29" s="4" t="str">
        <x:v>客观打分（交付、价格、质量等加权）</x:v>
      </x:c>
      <x:c r="G29" s="4" t="str">
        <x:v>时间、供应商</x:v>
      </x:c>
      <x:c r="H29" s="4" t="str">
        <x:v>月/季度</x:v>
      </x:c>
      <x:c r="I29" s="4" t="str">
        <x:v>评分明细、各评分项</x:v>
      </x:c>
      <x:c r="J29" s="4" t="str">
        <x:v>供应商管理系统</x:v>
      </x:c>
      <x:c r="K29" s="4" t="str">
        <x:v>修订口径</x:v>
      </x:c>
      <x:c r="L29" s="4" t="str">
        <x:v>SUP04</x:v>
      </x:c>
      <x:c r="M29" s="4" t="str">
        <x:v>供应商分项履约评价</x:v>
      </x:c>
      <x:c r="N29" s="4" t="str">
        <x:v>替代未定义权重的综合分；资质/保密条件不允许被低价或高交付分抵消</x:v>
      </x:c>
    </x:row>
    <x:row r="30" ht="42" customHeight="1">
      <x:c r="A30" s="9" t="str">
        <x:v>驾驶舱</x:v>
      </x:c>
      <x:c r="B30" s="9" t="n">
        <x:v>27</x:v>
      </x:c>
      <x:c r="C30" s="9" t="n">
        <x:v>26</x:v>
      </x:c>
      <x:c r="D30" s="9" t="str">
        <x:v>呆滞料金额</x:v>
      </x:c>
      <x:c r="E30" s="9" t="str">
        <x:v>超期未动用库存金额</x:v>
      </x:c>
      <x:c r="F30" s="9" t="str">
        <x:v>呆滞物料金额之和</x:v>
      </x:c>
      <x:c r="G30" s="9" t="str">
        <x:v>时间、物料类别</x:v>
      </x:c>
      <x:c r="H30" s="9" t="str">
        <x:v>月</x:v>
      </x:c>
      <x:c r="I30" s="9" t="str">
        <x:v>库存数量、库存时间、单价</x:v>
      </x:c>
      <x:c r="J30" s="9" t="str">
        <x:v>仓储/ERP系统</x:v>
      </x:c>
      <x:c r="K30" s="9" t="str">
        <x:v>修订口径</x:v>
      </x:c>
      <x:c r="L30" s="9" t="str">
        <x:v>INV01</x:v>
      </x:c>
      <x:c r="M30" s="9" t="str">
        <x:v>期末待处置呆滞库存金额</x:v>
      </x:c>
      <x:c r="N30" s="9" t="str">
        <x:v>先区分战略储备、专用备件及冻结物料；超期未动用不自动等于可处置</x:v>
      </x:c>
    </x:row>
    <x:row r="31" ht="42" customHeight="1">
      <x:c r="A31" s="4" t="str">
        <x:v>驾驶舱</x:v>
      </x:c>
      <x:c r="B31" s="4" t="n">
        <x:v>28</x:v>
      </x:c>
      <x:c r="C31" s="4" t="n">
        <x:v>27</x:v>
      </x:c>
      <x:c r="D31" s="4" t="str">
        <x:v>生产订单准时率</x:v>
      </x:c>
      <x:c r="E31" s="4" t="str">
        <x:v>按时完成生产订单占比</x:v>
      </x:c>
      <x:c r="F31" s="4" t="str">
        <x:v>按时完工订单数 ÷ 总订单数 × 100%</x:v>
      </x:c>
      <x:c r="G31" s="4" t="str">
        <x:v>时间、生产线</x:v>
      </x:c>
      <x:c r="H31" s="4" t="str">
        <x:v>日/周</x:v>
      </x:c>
      <x:c r="I31" s="4" t="str">
        <x:v>订单完成日期、计划日期、订单号</x:v>
      </x:c>
      <x:c r="J31" s="4" t="str">
        <x:v>MES/ERP系统</x:v>
      </x:c>
      <x:c r="K31" s="4" t="str">
        <x:v>修订口径</x:v>
      </x:c>
      <x:c r="L31" s="4" t="str">
        <x:v>MFG01</x:v>
      </x:c>
      <x:c r="M31" s="4" t="str">
        <x:v>到期生产订单按期完工率</x:v>
      </x:c>
      <x:c r="N31" s="4" t="str">
        <x:v>逾期未完成订单进入分母；按试制/批产区分；不等同客户验收交付</x:v>
      </x:c>
    </x:row>
    <x:row r="32" ht="42" customHeight="1">
      <x:c r="A32" s="9" t="str">
        <x:v>驾驶舱</x:v>
      </x:c>
      <x:c r="B32" s="9" t="n">
        <x:v>29</x:v>
      </x:c>
      <x:c r="C32" s="9" t="n">
        <x:v>28</x:v>
      </x:c>
      <x:c r="D32" s="9" t="str">
        <x:v>一次合格率</x:v>
      </x:c>
      <x:c r="E32" s="9" t="str">
        <x:v>首检合格数量占总检验数的比例</x:v>
      </x:c>
      <x:c r="F32" s="9" t="str">
        <x:v>首检合格数量 ÷ 检验总数 × 100%</x:v>
      </x:c>
      <x:c r="G32" s="9" t="str">
        <x:v>时间、生产线</x:v>
      </x:c>
      <x:c r="H32" s="9" t="str">
        <x:v>日/周</x:v>
      </x:c>
      <x:c r="I32" s="9" t="str">
        <x:v>检验批次、合格批次</x:v>
      </x:c>
      <x:c r="J32" s="9" t="str">
        <x:v>MES/质检系统</x:v>
      </x:c>
      <x:c r="K32" s="9" t="str">
        <x:v>修订口径</x:v>
      </x:c>
      <x:c r="L32" s="9" t="str">
        <x:v>QUA01</x:v>
      </x:c>
      <x:c r="M32" s="9" t="str">
        <x:v>产品首次检验批次合格率</x:v>
      </x:c>
      <x:c r="N32" s="9" t="str">
        <x:v>原数量/批次混用；本版采用批次，不混入复检结果；未检批次另列</x:v>
      </x:c>
    </x:row>
    <x:row r="33" ht="42" customHeight="1">
      <x:c r="A33" s="4" t="str">
        <x:v>驾驶舱</x:v>
      </x:c>
      <x:c r="B33" s="4" t="n">
        <x:v>30</x:v>
      </x:c>
      <x:c r="C33" s="4" t="n">
        <x:v>29</x:v>
      </x:c>
      <x:c r="D33" s="4" t="str">
        <x:v>单位制造成本</x:v>
      </x:c>
      <x:c r="E33" s="4" t="str">
        <x:v>单位产品制造的平均成本</x:v>
      </x:c>
      <x:c r="F33" s="4" t="str">
        <x:v>总制造成本 ÷ 产出数量</x:v>
      </x:c>
      <x:c r="G33" s="4" t="str">
        <x:v>时间、产品</x:v>
      </x:c>
      <x:c r="H33" s="4" t="str">
        <x:v>月</x:v>
      </x:c>
      <x:c r="I33" s="4" t="str">
        <x:v>制造成本、产量</x:v>
      </x:c>
      <x:c r="J33" s="4" t="str">
        <x:v>财务/生产系统</x:v>
      </x:c>
      <x:c r="K33" s="4" t="str">
        <x:v>复用统一口径</x:v>
      </x:c>
      <x:c r="L33" s="4" t="str">
        <x:v>FIN04</x:v>
      </x:c>
      <x:c r="M33" s="4" t="str">
        <x:v>同类合格产品单位制造成本</x:v>
      </x:c>
      <x:c r="N33" s="4" t="str">
        <x:v>合并单位产出成本与单位制造成本；科研项目不得以项目数充当产量</x:v>
      </x:c>
    </x:row>
    <x:row r="34" ht="42" customHeight="1">
      <x:c r="A34" s="9" t="str">
        <x:v>驾驶舱</x:v>
      </x:c>
      <x:c r="B34" s="9" t="n">
        <x:v>31</x:v>
      </x:c>
      <x:c r="C34" s="9" t="n">
        <x:v>30</x:v>
      </x:c>
      <x:c r="D34" s="9" t="str">
        <x:v>库存周转率</x:v>
      </x:c>
      <x:c r="E34" s="9" t="str">
        <x:v>一定周期内库存流转次数</x:v>
      </x:c>
      <x:c r="F34" s="9" t="str">
        <x:v>销货成本 ÷ 平均库存余额</x:v>
      </x:c>
      <x:c r="G34" s="9" t="str">
        <x:v>时间、产品</x:v>
      </x:c>
      <x:c r="H34" s="9" t="str">
        <x:v>月</x:v>
      </x:c>
      <x:c r="I34" s="9" t="str">
        <x:v>销货成本、库存余额</x:v>
      </x:c>
      <x:c r="J34" s="9" t="str">
        <x:v>财务/仓储系统</x:v>
      </x:c>
      <x:c r="K34" s="9" t="str">
        <x:v>修订口径</x:v>
      </x:c>
      <x:c r="L34" s="9" t="str">
        <x:v>INV02</x:v>
      </x:c>
      <x:c r="M34" s="9" t="str">
        <x:v>原材料领用周转率</x:v>
      </x:c>
      <x:c r="N34" s="9" t="str">
        <x:v>明确替代通用库存周转率；不能把销货成本和材料领用任选；储备单列</x:v>
      </x:c>
    </x:row>
    <x:row r="35" ht="42" customHeight="1">
      <x:c r="A35" s="4" t="str">
        <x:v>驾驶舱</x:v>
      </x:c>
      <x:c r="B35" s="4" t="n">
        <x:v>32</x:v>
      </x:c>
      <x:c r="C35" s="4" t="n">
        <x:v>31</x:v>
      </x:c>
      <x:c r="D35" s="4" t="str">
        <x:v>OEE</x:v>
      </x:c>
      <x:c r="E35" s="4" t="str">
        <x:v>设备综合效率</x:v>
      </x:c>
      <x:c r="F35" s="4" t="str">
        <x:v>OEE=开动率×性能稼动率×合格率</x:v>
      </x:c>
      <x:c r="G35" s="4" t="str">
        <x:v>时间、设备</x:v>
      </x:c>
      <x:c r="H35" s="4" t="str">
        <x:v>日/周</x:v>
      </x:c>
      <x:c r="I35" s="4" t="str">
        <x:v>设备运行、停机、产量、良品数</x:v>
      </x:c>
      <x:c r="J35" s="4" t="str">
        <x:v>MES/设备管理</x:v>
      </x:c>
      <x:c r="K35" s="4" t="str">
        <x:v>修订口径</x:v>
      </x:c>
      <x:c r="L35" s="4" t="str">
        <x:v>MFG02</x:v>
      </x:c>
      <x:c r="M35" s="4" t="str">
        <x:v>稳定批产设备OEE</x:v>
      </x:c>
      <x:c r="N35" s="4" t="str">
        <x:v>仅适用节拍可靠的批产；研发试验设备用FIN05；异质工序不可简单均值</x:v>
      </x:c>
    </x:row>
    <x:row r="36" ht="42" customHeight="1">
      <x:c r="A36" s="9" t="str">
        <x:v>项目生命周期</x:v>
      </x:c>
      <x:c r="B36" s="9" t="n">
        <x:v>2</x:v>
      </x:c>
      <x:c r="C36" s="9" t="n">
        <x:v>1</x:v>
      </x:c>
      <x:c r="D36" s="9" t="str">
        <x:v>项目立项数</x:v>
      </x:c>
      <x:c r="E36" s="9" t="str">
        <x:v>某周期内新立项项目数量</x:v>
      </x:c>
      <x:c r="F36" s="9" t="str">
        <x:v>统计周期内新建项目数量</x:v>
      </x:c>
      <x:c r="G36" s="9" t="str">
        <x:v>时间、部门、类型</x:v>
      </x:c>
      <x:c r="H36" s="9" t="str">
        <x:v>月</x:v>
      </x:c>
      <x:c r="I36" s="9" t="str">
        <x:v>项目编号、立项日期、部门、类型</x:v>
      </x:c>
      <x:c r="J36" s="9" t="str">
        <x:v>项目管理系统</x:v>
      </x:c>
      <x:c r="K36" s="9" t="str">
        <x:v>复用统一口径</x:v>
      </x:c>
      <x:c r="L36" s="9" t="str">
        <x:v>PRJ01</x:v>
      </x:c>
      <x:c r="M36" s="9" t="str">
        <x:v>批准立项项目数</x:v>
      </x:c>
      <x:c r="N36" s="9" t="str">
        <x:v>系统新建时间不能替代批准立项时间；父子项目选择同一层级</x:v>
      </x:c>
    </x:row>
    <x:row r="37" ht="42" customHeight="1">
      <x:c r="A37" s="4" t="str">
        <x:v>项目生命周期</x:v>
      </x:c>
      <x:c r="B37" s="4" t="n">
        <x:v>3</x:v>
      </x:c>
      <x:c r="C37" s="4" t="n">
        <x:v>2</x:v>
      </x:c>
      <x:c r="D37" s="4" t="str">
        <x:v>项目结题率</x:v>
      </x:c>
      <x:c r="E37" s="4" t="str">
        <x:v>某周期内已结题项目占比</x:v>
      </x:c>
      <x:c r="F37" s="4" t="str">
        <x:v>结题项目数 ÷ 立项项目总数 × 100%</x:v>
      </x:c>
      <x:c r="G37" s="4" t="str">
        <x:v>时间、部门、类型</x:v>
      </x:c>
      <x:c r="H37" s="4" t="str">
        <x:v>月</x:v>
      </x:c>
      <x:c r="I37" s="4" t="str">
        <x:v>项目结题状态、立项数</x:v>
      </x:c>
      <x:c r="J37" s="4" t="str">
        <x:v>项目管理系统</x:v>
      </x:c>
      <x:c r="K37" s="4" t="str">
        <x:v>复用统一口径</x:v>
      </x:c>
      <x:c r="L37" s="4" t="str">
        <x:v>PRJ02</x:v>
      </x:c>
      <x:c r="M37" s="4" t="str">
        <x:v>到期项目按期结题率</x:v>
      </x:c>
      <x:c r="N37" s="4" t="str">
        <x:v>替换结题数÷立项数；逾期未结题进入分母；冻结原始及批准调整基线</x:v>
      </x:c>
    </x:row>
    <x:row r="38" ht="42" customHeight="1">
      <x:c r="A38" s="9" t="str">
        <x:v>项目生命周期</x:v>
      </x:c>
      <x:c r="B38" s="9" t="n">
        <x:v>4</x:v>
      </x:c>
      <x:c r="C38" s="9" t="n">
        <x:v>3</x:v>
      </x:c>
      <x:c r="D38" s="9" t="str">
        <x:v>项目在研数</x:v>
      </x:c>
      <x:c r="E38" s="9" t="str">
        <x:v>当前仍在执行中的项目数量</x:v>
      </x:c>
      <x:c r="F38" s="9" t="str">
        <x:v>统计周期内未结题项目数量</x:v>
      </x:c>
      <x:c r="G38" s="9" t="str">
        <x:v>时间、部门、类型</x:v>
      </x:c>
      <x:c r="H38" s="9" t="str">
        <x:v>月</x:v>
      </x:c>
      <x:c r="I38" s="9" t="str">
        <x:v>项目编号、结题状态</x:v>
      </x:c>
      <x:c r="J38" s="9" t="str">
        <x:v>项目管理系统</x:v>
      </x:c>
      <x:c r="K38" s="9" t="str">
        <x:v>修订口径</x:v>
      </x:c>
      <x:c r="L38" s="9" t="str">
        <x:v>PRJ10</x:v>
      </x:c>
      <x:c r="M38" s="9" t="str">
        <x:v>期末在研项目数</x:v>
      </x:c>
      <x:c r="N38" s="9" t="str">
        <x:v>暂停、撤销、结题分别列示；不能只用未结题状态判定</x:v>
      </x:c>
    </x:row>
    <x:row r="39" ht="42" customHeight="1">
      <x:c r="A39" s="4" t="str">
        <x:v>项目生命周期</x:v>
      </x:c>
      <x:c r="B39" s="4" t="n">
        <x:v>5</x:v>
      </x:c>
      <x:c r="C39" s="4" t="n">
        <x:v>4</x:v>
      </x:c>
      <x:c r="D39" s="4" t="str">
        <x:v>里程碑准时率</x:v>
      </x:c>
      <x:c r="E39" s="4" t="str">
        <x:v>关键里程碑节点按时完成的比例</x:v>
      </x:c>
      <x:c r="F39" s="4" t="str">
        <x:v>按时完成里程碑数 ÷ 总应完成里程碑数 × 100%</x:v>
      </x:c>
      <x:c r="G39" s="4" t="str">
        <x:v>时间、项目、部门</x:v>
      </x:c>
      <x:c r="H39" s="4" t="str">
        <x:v>月</x:v>
      </x:c>
      <x:c r="I39" s="4" t="str">
        <x:v>计划完成日期、实际完成日期</x:v>
      </x:c>
      <x:c r="J39" s="4" t="str">
        <x:v>项目管理系统</x:v>
      </x:c>
      <x:c r="K39" s="4" t="str">
        <x:v>复用统一口径</x:v>
      </x:c>
      <x:c r="L39" s="4" t="str">
        <x:v>PRJ03</x:v>
      </x:c>
      <x:c r="M39" s="4" t="str">
        <x:v>到期里程碑按期完成率</x:v>
      </x:c>
      <x:c r="N39" s="4" t="str">
        <x:v>未完成到期节点不可遗漏；关键节点单列，不用普通节点稀释</x:v>
      </x:c>
    </x:row>
    <x:row r="40" ht="42" customHeight="1">
      <x:c r="A40" s="9" t="str">
        <x:v>项目生命周期</x:v>
      </x:c>
      <x:c r="B40" s="9" t="n">
        <x:v>6</x:v>
      </x:c>
      <x:c r="C40" s="9" t="n">
        <x:v>5</x:v>
      </x:c>
      <x:c r="D40" s="9" t="str">
        <x:v>项目平均执行周期</x:v>
      </x:c>
      <x:c r="E40" s="9" t="str">
        <x:v>项目从立项到结题的平均天数</x:v>
      </x:c>
      <x:c r="F40" s="9" t="str">
        <x:v>Σ（项目结题日-立项日） ÷ 项目数</x:v>
      </x:c>
      <x:c r="G40" s="9" t="str">
        <x:v>时间、部门、类型</x:v>
      </x:c>
      <x:c r="H40" s="9" t="str">
        <x:v>月</x:v>
      </x:c>
      <x:c r="I40" s="9" t="str">
        <x:v>立项日期、结题日期</x:v>
      </x:c>
      <x:c r="J40" s="9" t="str">
        <x:v>项目管理系统</x:v>
      </x:c>
      <x:c r="K40" s="9" t="str">
        <x:v>复用统一口径</x:v>
      </x:c>
      <x:c r="L40" s="9" t="str">
        <x:v>PRJ04</x:v>
      </x:c>
      <x:c r="M40" s="9" t="str">
        <x:v>结题项目平均执行周期</x:v>
      </x:c>
      <x:c r="N40" s="9" t="str">
        <x:v>仅代表已结题项目；在研老项目另看超期数，不跨类型排名</x:v>
      </x:c>
    </x:row>
    <x:row r="41" ht="42" customHeight="1">
      <x:c r="A41" s="4" t="str">
        <x:v>项目生命周期</x:v>
      </x:c>
      <x:c r="B41" s="4" t="n">
        <x:v>7</x:v>
      </x:c>
      <x:c r="C41" s="4" t="n">
        <x:v>6</x:v>
      </x:c>
      <x:c r="D41" s="4" t="str">
        <x:v>超期项目数</x:v>
      </x:c>
      <x:c r="E41" s="4" t="str">
        <x:v>超过计划完成周期的项目数量</x:v>
      </x:c>
      <x:c r="F41" s="4" t="str">
        <x:v>超期项目数量</x:v>
      </x:c>
      <x:c r="G41" s="4" t="str">
        <x:v>时间、部门、类型</x:v>
      </x:c>
      <x:c r="H41" s="4" t="str">
        <x:v>月</x:v>
      </x:c>
      <x:c r="I41" s="4" t="str">
        <x:v>项目计划周期、实际周期</x:v>
      </x:c>
      <x:c r="J41" s="4" t="str">
        <x:v>项目管理系统</x:v>
      </x:c>
      <x:c r="K41" s="4" t="str">
        <x:v>修订口径</x:v>
      </x:c>
      <x:c r="L41" s="4" t="str">
        <x:v>PRJ11</x:v>
      </x:c>
      <x:c r="M41" s="4" t="str">
        <x:v>期末逾期未结题项目数</x:v>
      </x:c>
      <x:c r="N41" s="4" t="str">
        <x:v>与当期延期结题分开；已批准取消项目按生效日留痕处理</x:v>
      </x:c>
    </x:row>
    <x:row r="42" ht="42" customHeight="1">
      <x:c r="A42" s="9" t="str">
        <x:v>项目生命周期</x:v>
      </x:c>
      <x:c r="B42" s="9" t="n">
        <x:v>8</x:v>
      </x:c>
      <x:c r="C42" s="9" t="n">
        <x:v>7</x:v>
      </x:c>
      <x:c r="D42" s="9" t="str">
        <x:v>文档齐备率</x:v>
      </x:c>
      <x:c r="E42" s="9" t="str">
        <x:v>项目结题归档文档的齐全比例</x:v>
      </x:c>
      <x:c r="F42" s="9" t="str">
        <x:v>文档齐备项目数 ÷ 总结题项目数 × 100%</x:v>
      </x:c>
      <x:c r="G42" s="9" t="str">
        <x:v>时间、部门、类型</x:v>
      </x:c>
      <x:c r="H42" s="9" t="str">
        <x:v>月</x:v>
      </x:c>
      <x:c r="I42" s="9" t="str">
        <x:v>项目档案记录</x:v>
      </x:c>
      <x:c r="J42" s="9" t="str">
        <x:v>档案/项目系统</x:v>
      </x:c>
      <x:c r="K42" s="9" t="str">
        <x:v>复用统一口径</x:v>
      </x:c>
      <x:c r="L42" s="9" t="str">
        <x:v>PRJ05</x:v>
      </x:c>
      <x:c r="M42" s="9" t="str">
        <x:v>到期归档项目文档齐备率</x:v>
      </x:c>
      <x:c r="N42" s="9" t="str">
        <x:v>合并重复文档齐备率；清单须包含适用交付资料；齐备不等于及时</x:v>
      </x:c>
    </x:row>
    <x:row r="43" ht="42" customHeight="1">
      <x:c r="A43" s="4" t="str">
        <x:v>项目生命周期</x:v>
      </x:c>
      <x:c r="B43" s="4" t="n">
        <x:v>9</x:v>
      </x:c>
      <x:c r="C43" s="4" t="n">
        <x:v>8</x:v>
      </x:c>
      <x:c r="D43" s="4" t="str">
        <x:v>经费分布</x:v>
      </x:c>
      <x:c r="E43" s="4" t="str">
        <x:v>各项目类别经费投入的分布情况</x:v>
      </x:c>
      <x:c r="F43" s="4" t="str">
        <x:v>按项目类别汇总各经费金额</x:v>
      </x:c>
      <x:c r="G43" s="4" t="str">
        <x:v>时间、项目类别</x:v>
      </x:c>
      <x:c r="H43" s="4" t="str">
        <x:v>月</x:v>
      </x:c>
      <x:c r="I43" s="4" t="str">
        <x:v>项目类别、经费金额</x:v>
      </x:c>
      <x:c r="J43" s="4" t="str">
        <x:v>项目管理/财务</x:v>
      </x:c>
      <x:c r="K43" s="4" t="str">
        <x:v>复用统一口径</x:v>
      </x:c>
      <x:c r="L43" s="4" t="str">
        <x:v>PRJ06</x:v>
      </x:c>
      <x:c r="M43" s="4" t="str">
        <x:v>项目批准预算分布</x:v>
      </x:c>
      <x:c r="N43" s="4" t="str">
        <x:v>原经费分布未说明预算/支出；本指标只表达预算，父子层级不可重复加总</x:v>
      </x:c>
    </x:row>
    <x:row r="44" ht="42" customHeight="1">
      <x:c r="A44" s="9" t="str">
        <x:v>项目生命周期</x:v>
      </x:c>
      <x:c r="B44" s="9" t="n">
        <x:v>10</x:v>
      </x:c>
      <x:c r="C44" s="9" t="n">
        <x:v>9</x:v>
      </x:c>
      <x:c r="D44" s="9" t="str">
        <x:v>经费执行率</x:v>
      </x:c>
      <x:c r="E44" s="9" t="str">
        <x:v>项目实际经费支出占预算比例</x:v>
      </x:c>
      <x:c r="F44" s="9" t="str">
        <x:v>实际支出 ÷ 预算经费 × 100%</x:v>
      </x:c>
      <x:c r="G44" s="9" t="str">
        <x:v>时间、项目、部门</x:v>
      </x:c>
      <x:c r="H44" s="9" t="str">
        <x:v>月</x:v>
      </x:c>
      <x:c r="I44" s="9" t="str">
        <x:v>项目预算、实际支出</x:v>
      </x:c>
      <x:c r="J44" s="9" t="str">
        <x:v>项目管理/财务</x:v>
      </x:c>
      <x:c r="K44" s="9" t="str">
        <x:v>修订口径</x:v>
      </x:c>
      <x:c r="L44" s="9" t="str">
        <x:v>PRJ12</x:v>
      </x:c>
      <x:c r="M44" s="9" t="str">
        <x:v>累计项目预算执行率</x:v>
      </x:c>
      <x:c r="N44" s="9" t="str">
        <x:v>先确定支出会计口径；不可把当月支出除全周期预算；并非越高越好</x:v>
      </x:c>
    </x:row>
    <x:row r="45" ht="42" customHeight="1">
      <x:c r="A45" s="4" t="str">
        <x:v>项目生命周期</x:v>
      </x:c>
      <x:c r="B45" s="4" t="n">
        <x:v>11</x:v>
      </x:c>
      <x:c r="C45" s="4" t="n">
        <x:v>10</x:v>
      </x:c>
      <x:c r="D45" s="4" t="str">
        <x:v>专利/论文数</x:v>
      </x:c>
      <x:c r="E45" s="4" t="str">
        <x:v>某周期内产出的专利和论文数量</x:v>
      </x:c>
      <x:c r="F45" s="4" t="str">
        <x:v>统计周期内专利、论文数量</x:v>
      </x:c>
      <x:c r="G45" s="4" t="str">
        <x:v>时间、部门、项目</x:v>
      </x:c>
      <x:c r="H45" s="4" t="str">
        <x:v>月</x:v>
      </x:c>
      <x:c r="I45" s="4" t="str">
        <x:v>专利、论文登记数据</x:v>
      </x:c>
      <x:c r="J45" s="4" t="str">
        <x:v>知识产权/项目系统</x:v>
      </x:c>
      <x:c r="K45" s="4" t="str">
        <x:v>拆分</x:v>
      </x:c>
      <x:c r="L45" s="4" t="str">
        <x:v>PRJ07、PRJ08</x:v>
      </x:c>
      <x:c r="M45" s="4" t="str">
        <x:v>当期授权专利数；经审查公开发表论文数</x:v>
      </x:c>
      <x:c r="N45" s="4" t="str">
        <x:v>从专利/论文数拆出；不与申请数混算，不作为单独绩效排名；涉密成果不因不能公开而扣分；不得将内部报告当公开论文</x:v>
      </x:c>
    </x:row>
    <x:row r="46" ht="42" customHeight="1">
      <x:c r="A46" s="9" t="str">
        <x:v>项目生命周期</x:v>
      </x:c>
      <x:c r="B46" s="9" t="n">
        <x:v>12</x:v>
      </x:c>
      <x:c r="C46" s="9" t="n">
        <x:v>11</x:v>
      </x:c>
      <x:c r="D46" s="9" t="str">
        <x:v>成果转化合同额</x:v>
      </x:c>
      <x:c r="E46" s="9" t="str">
        <x:v>某周期内成果转化签约合同总金额</x:v>
      </x:c>
      <x:c r="F46" s="9" t="str">
        <x:v>统计周期内相关合同金额总和</x:v>
      </x:c>
      <x:c r="G46" s="9" t="str">
        <x:v>时间、合同类型、项目</x:v>
      </x:c>
      <x:c r="H46" s="9" t="str">
        <x:v>月</x:v>
      </x:c>
      <x:c r="I46" s="9" t="str">
        <x:v>合同金额、合同类型、签约日期</x:v>
      </x:c>
      <x:c r="J46" s="9" t="str">
        <x:v>合同/成果系统</x:v>
      </x:c>
      <x:c r="K46" s="9" t="str">
        <x:v>复用统一口径</x:v>
      </x:c>
      <x:c r="L46" s="9" t="str">
        <x:v>PRJ09</x:v>
      </x:c>
      <x:c r="M46" s="9" t="str">
        <x:v>生效成果转化合同净额</x:v>
      </x:c>
      <x:c r="N46" s="9" t="str">
        <x:v>合同额不是收入或回款；不以公开交易规模评价全部科研成果</x:v>
      </x:c>
    </x:row>
    <x:row r="47" ht="42" customHeight="1">
      <x:c r="A47" s="4" t="str">
        <x:v>项目生命周期</x:v>
      </x:c>
      <x:c r="B47" s="4" t="n">
        <x:v>13</x:v>
      </x:c>
      <x:c r="C47" s="4" t="n">
        <x:v>12</x:v>
      </x:c>
      <x:c r="D47" s="4" t="str">
        <x:v>文档齐备率</x:v>
      </x:c>
      <x:c r="E47" s="4" t="str">
        <x:v>项目归档文档齐备情况</x:v>
      </x:c>
      <x:c r="F47" s="4" t="str">
        <x:v>齐备归档项目数 ÷ 总结题项目数 × 100%</x:v>
      </x:c>
      <x:c r="G47" s="4" t="str">
        <x:v>时间、部门、类型</x:v>
      </x:c>
      <x:c r="H47" s="4" t="str">
        <x:v>月</x:v>
      </x:c>
      <x:c r="I47" s="4" t="str">
        <x:v>项目档案清单</x:v>
      </x:c>
      <x:c r="J47" s="4" t="str">
        <x:v>档案/项目系统</x:v>
      </x:c>
      <x:c r="K47" s="4" t="str">
        <x:v>复用统一口径</x:v>
      </x:c>
      <x:c r="L47" s="4" t="str">
        <x:v>PRJ05</x:v>
      </x:c>
      <x:c r="M47" s="4" t="str">
        <x:v>到期归档项目文档齐备率</x:v>
      </x:c>
      <x:c r="N47" s="4" t="str">
        <x:v>合并重复文档齐备率；清单须包含适用交付资料；齐备不等于及时</x:v>
      </x:c>
    </x:row>
    <x:row r="48" ht="42" customHeight="1">
      <x:c r="A48" s="9" t="str">
        <x:v>项目生命周期</x:v>
      </x:c>
      <x:c r="B48" s="9" t="n">
        <x:v>14</x:v>
      </x:c>
      <x:c r="C48" s="9" t="n">
        <x:v>13</x:v>
      </x:c>
      <x:c r="D48" s="9" t="str">
        <x:v>结题文档及时率</x:v>
      </x:c>
      <x:c r="E48" s="9" t="str">
        <x:v>结题时限内归档文档占比</x:v>
      </x:c>
      <x:c r="F48" s="9" t="str">
        <x:v>按时归档项目数 ÷ 总结题项目数 × 100%</x:v>
      </x:c>
      <x:c r="G48" s="9" t="str">
        <x:v>时间、部门、类型</x:v>
      </x:c>
      <x:c r="H48" s="9" t="str">
        <x:v>月</x:v>
      </x:c>
      <x:c r="I48" s="9" t="str">
        <x:v>归档日期、结题日期</x:v>
      </x:c>
      <x:c r="J48" s="9" t="str">
        <x:v>项目/档案系统</x:v>
      </x:c>
      <x:c r="K48" s="9" t="str">
        <x:v>修订口径</x:v>
      </x:c>
      <x:c r="L48" s="9" t="str">
        <x:v>PRJ13</x:v>
      </x:c>
      <x:c r="M48" s="9" t="str">
        <x:v>到期项目归档及时率</x:v>
      </x:c>
      <x:c r="N48" s="9" t="str">
        <x:v>原分母总结题项目未考虑归档宽限期；与齐备率共用清单</x:v>
      </x:c>
    </x:row>
    <x:row r="49" ht="42" customHeight="1">
      <x:c r="A49" s="4" t="str">
        <x:v>财务运营与成本管控模块</x:v>
      </x:c>
      <x:c r="B49" s="4" t="n">
        <x:v>2</x:v>
      </x:c>
      <x:c r="C49" s="4" t="n">
        <x:v>1</x:v>
      </x:c>
      <x:c r="D49" s="4" t="str">
        <x:v>总收入</x:v>
      </x:c>
      <x:c r="E49" s="4" t="str">
        <x:v>某周期内全部收入总额</x:v>
      </x:c>
      <x:c r="F49" s="4" t="str">
        <x:v>汇总全部收入科目</x:v>
      </x:c>
      <x:c r="G49" s="4" t="str">
        <x:v>时间、部门</x:v>
      </x:c>
      <x:c r="H49" s="4" t="str">
        <x:v>月</x:v>
      </x:c>
      <x:c r="I49" s="4" t="str">
        <x:v>各收入科目金额</x:v>
      </x:c>
      <x:c r="J49" s="4" t="str">
        <x:v>财务系统</x:v>
      </x:c>
      <x:c r="K49" s="4" t="str">
        <x:v>复用统一口径</x:v>
      </x:c>
      <x:c r="L49" s="4" t="str">
        <x:v>FIN01</x:v>
      </x:c>
      <x:c r="M49" s="4" t="str">
        <x:v>当期确认收入</x:v>
      </x:c>
      <x:c r="N49" s="4" t="str">
        <x:v>限定适用会计制度；不把拨款到账、合同额直接当收入</x:v>
      </x:c>
    </x:row>
    <x:row r="50" ht="42" customHeight="1">
      <x:c r="A50" s="9" t="str">
        <x:v>财务运营与成本管控模块</x:v>
      </x:c>
      <x:c r="B50" s="9" t="n">
        <x:v>3</x:v>
      </x:c>
      <x:c r="C50" s="9" t="n">
        <x:v>2</x:v>
      </x:c>
      <x:c r="D50" s="9" t="str">
        <x:v>总支出</x:v>
      </x:c>
      <x:c r="E50" s="9" t="str">
        <x:v>某周期内全部支出总额</x:v>
      </x:c>
      <x:c r="F50" s="9" t="str">
        <x:v>汇总全部支出科目</x:v>
      </x:c>
      <x:c r="G50" s="9" t="str">
        <x:v>时间、部门</x:v>
      </x:c>
      <x:c r="H50" s="9" t="str">
        <x:v>月</x:v>
      </x:c>
      <x:c r="I50" s="9" t="str">
        <x:v>各支出科目金额</x:v>
      </x:c>
      <x:c r="J50" s="9" t="str">
        <x:v>财务系统</x:v>
      </x:c>
      <x:c r="K50" s="9" t="str">
        <x:v>复用统一口径</x:v>
      </x:c>
      <x:c r="L50" s="9" t="str">
        <x:v>FIN02</x:v>
      </x:c>
      <x:c r="M50" s="9" t="str">
        <x:v>当期费用及成本</x:v>
      </x:c>
      <x:c r="N50" s="9" t="str">
        <x:v>原总支出易混合现金支付与费用；本口径不含购置资产现金全额</x:v>
      </x:c>
    </x:row>
    <x:row r="51" ht="42" customHeight="1">
      <x:c r="A51" s="4" t="str">
        <x:v>财务运营与成本管控模块</x:v>
      </x:c>
      <x:c r="B51" s="4" t="n">
        <x:v>4</x:v>
      </x:c>
      <x:c r="C51" s="4" t="n">
        <x:v>3</x:v>
      </x:c>
      <x:c r="D51" s="4" t="str">
        <x:v>净结余</x:v>
      </x:c>
      <x:c r="E51" s="4" t="str">
        <x:v>收入减去支出的余额</x:v>
      </x:c>
      <x:c r="F51" s="4" t="str">
        <x:v>总收入 - 总支出</x:v>
      </x:c>
      <x:c r="G51" s="4" t="str">
        <x:v>时间、部门</x:v>
      </x:c>
      <x:c r="H51" s="4" t="str">
        <x:v>月</x:v>
      </x:c>
      <x:c r="I51" s="4" t="str">
        <x:v>总收入、总支出</x:v>
      </x:c>
      <x:c r="J51" s="4" t="str">
        <x:v>财务系统</x:v>
      </x:c>
      <x:c r="K51" s="4" t="str">
        <x:v>复用统一口径</x:v>
      </x:c>
      <x:c r="L51" s="4" t="str">
        <x:v>FIN03</x:v>
      </x:c>
      <x:c r="M51" s="4" t="str">
        <x:v>当期收支差额（管理口径）</x:v>
      </x:c>
      <x:c r="N51" s="4" t="str">
        <x:v>不直接称净利润或法定净结余；法定报表指标按适用制度另行映射</x:v>
      </x:c>
    </x:row>
    <x:row r="52" ht="42" customHeight="1">
      <x:c r="A52" s="9" t="str">
        <x:v>财务运营与成本管控模块</x:v>
      </x:c>
      <x:c r="B52" s="9" t="n">
        <x:v>5</x:v>
      </x:c>
      <x:c r="C52" s="9" t="n">
        <x:v>4</x:v>
      </x:c>
      <x:c r="D52" s="9" t="str">
        <x:v>单位产出成本</x:v>
      </x:c>
      <x:c r="E52" s="9" t="str">
        <x:v>单件产品/项目平均制造成本</x:v>
      </x:c>
      <x:c r="F52" s="9" t="str">
        <x:v>制造总成本 ÷ 产出总量</x:v>
      </x:c>
      <x:c r="G52" s="9" t="str">
        <x:v>时间、产品</x:v>
      </x:c>
      <x:c r="H52" s="9" t="str">
        <x:v>月</x:v>
      </x:c>
      <x:c r="I52" s="9" t="str">
        <x:v>总成本、产出数量</x:v>
      </x:c>
      <x:c r="J52" s="9" t="str">
        <x:v>财务/生产系统</x:v>
      </x:c>
      <x:c r="K52" s="9" t="str">
        <x:v>复用统一口径</x:v>
      </x:c>
      <x:c r="L52" s="9" t="str">
        <x:v>FIN04</x:v>
      </x:c>
      <x:c r="M52" s="9" t="str">
        <x:v>同类合格产品单位制造成本</x:v>
      </x:c>
      <x:c r="N52" s="9" t="str">
        <x:v>合并单位产出成本与单位制造成本；科研项目不得以项目数充当产量</x:v>
      </x:c>
    </x:row>
    <x:row r="53" ht="42" customHeight="1">
      <x:c r="A53" s="4" t="str">
        <x:v>财务运营与成本管控模块</x:v>
      </x:c>
      <x:c r="B53" s="4" t="n">
        <x:v>6</x:v>
      </x:c>
      <x:c r="C53" s="4" t="n">
        <x:v>5</x:v>
      </x:c>
      <x:c r="D53" s="4" t="str">
        <x:v>固定资产ROI</x:v>
      </x:c>
      <x:c r="E53" s="4" t="str">
        <x:v>固定资产投资回报率</x:v>
      </x:c>
      <x:c r="F53" s="4" t="str">
        <x:v>固定资产收益 ÷ 固定资产净值 × 100%</x:v>
      </x:c>
      <x:c r="G53" s="4" t="str">
        <x:v>时间、资产类别</x:v>
      </x:c>
      <x:c r="H53" s="4" t="str">
        <x:v>季度</x:v>
      </x:c>
      <x:c r="I53" s="4" t="str">
        <x:v>固定资产净值、收益</x:v>
      </x:c>
      <x:c r="J53" s="4" t="str">
        <x:v>财务/资产系统</x:v>
      </x:c>
      <x:c r="K53" s="4" t="str">
        <x:v>替换</x:v>
      </x:c>
      <x:c r="L53" s="4" t="str">
        <x:v>FIN05</x:v>
      </x:c>
      <x:c r="M53" s="4" t="str">
        <x:v>科研试验设备有效利用率</x:v>
      </x:c>
      <x:c r="N53" s="4" t="str">
        <x:v>替代固定资产ROI；战略备用设备单列，不因低利用率简单淘汰</x:v>
      </x:c>
    </x:row>
    <x:row r="54" ht="42" customHeight="1">
      <x:c r="A54" s="9" t="str">
        <x:v>财务运营与成本管控模块</x:v>
      </x:c>
      <x:c r="B54" s="9" t="n">
        <x:v>7</x:v>
      </x:c>
      <x:c r="C54" s="9" t="n">
        <x:v>6</x:v>
      </x:c>
      <x:c r="D54" s="9" t="str">
        <x:v>三公经费偏差</x:v>
      </x:c>
      <x:c r="E54" s="9" t="str">
        <x:v>实际三公经费与预算差异</x:v>
      </x:c>
      <x:c r="F54" s="9" t="str">
        <x:v>(实际 - 预算) ÷ 预算 × 100%</x:v>
      </x:c>
      <x:c r="G54" s="9" t="str">
        <x:v>时间、部门</x:v>
      </x:c>
      <x:c r="H54" s="9" t="str">
        <x:v>月</x:v>
      </x:c>
      <x:c r="I54" s="9" t="str">
        <x:v>实际、预算金额</x:v>
      </x:c>
      <x:c r="J54" s="9" t="str">
        <x:v>财务/预算系统</x:v>
      </x:c>
      <x:c r="K54" s="9" t="str">
        <x:v>复用统一口径</x:v>
      </x:c>
      <x:c r="L54" s="9" t="str">
        <x:v>FIN06</x:v>
      </x:c>
      <x:c r="M54" s="9" t="str">
        <x:v>三公经费预算偏差率（适用时）</x:v>
      </x:c>
      <x:c r="N54" s="9" t="str">
        <x:v>适用范围须财务确认；零预算发生支出另报金额异常，不算百分比</x:v>
      </x:c>
    </x:row>
    <x:row r="55" ht="42" customHeight="1">
      <x:c r="A55" s="4" t="str">
        <x:v>财务运营与成本管控模块</x:v>
      </x:c>
      <x:c r="B55" s="4" t="n">
        <x:v>8</x:v>
      </x:c>
      <x:c r="C55" s="4" t="n">
        <x:v>7</x:v>
      </x:c>
      <x:c r="D55" s="4" t="str">
        <x:v>采购价格指数</x:v>
      </x:c>
      <x:c r="E55" s="4" t="str">
        <x:v>代表性采购物资均价变动趋势</x:v>
      </x:c>
      <x:c r="F55" s="4" t="str">
        <x:v>统计代表物资采购均价形成指数</x:v>
      </x:c>
      <x:c r="G55" s="4" t="str">
        <x:v>时间、物资类别</x:v>
      </x:c>
      <x:c r="H55" s="4" t="str">
        <x:v>月</x:v>
      </x:c>
      <x:c r="I55" s="4" t="str">
        <x:v>采购单价、采购物资</x:v>
      </x:c>
      <x:c r="J55" s="4" t="str">
        <x:v>采购/ERP系统</x:v>
      </x:c>
      <x:c r="K55" s="4" t="str">
        <x:v>复用统一口径</x:v>
      </x:c>
      <x:c r="L55" s="4" t="str">
        <x:v>FIN07</x:v>
      </x:c>
      <x:c r="M55" s="4" t="str">
        <x:v>同质可比采购价格指数</x:v>
      </x:c>
      <x:c r="N55" s="4" t="str">
        <x:v>基期为100；缺少可比样本不硬算；定制研制件不与通用件直接比价</x:v>
      </x:c>
    </x:row>
    <x:row r="56" ht="42" customHeight="1">
      <x:c r="A56" s="9" t="str">
        <x:v>财务运营与成本管控模块</x:v>
      </x:c>
      <x:c r="B56" s="9" t="n">
        <x:v>9</x:v>
      </x:c>
      <x:c r="C56" s="9" t="n">
        <x:v>8</x:v>
      </x:c>
      <x:c r="D56" s="9" t="str">
        <x:v>资产负债率</x:v>
      </x:c>
      <x:c r="E56" s="9" t="str">
        <x:v>企业负债占资产的比例</x:v>
      </x:c>
      <x:c r="F56" s="9" t="str">
        <x:v>总负债 ÷ 总资产 × 100%</x:v>
      </x:c>
      <x:c r="G56" s="9" t="str">
        <x:v>时间</x:v>
      </x:c>
      <x:c r="H56" s="9" t="str">
        <x:v>月/季度</x:v>
      </x:c>
      <x:c r="I56" s="9" t="str">
        <x:v>总负债、总资产</x:v>
      </x:c>
      <x:c r="J56" s="9" t="str">
        <x:v>财务系统</x:v>
      </x:c>
      <x:c r="K56" s="9" t="str">
        <x:v>修订口径</x:v>
      </x:c>
      <x:c r="L56" s="9" t="str">
        <x:v>FIN08</x:v>
      </x:c>
      <x:c r="M56" s="9" t="str">
        <x:v>资产负债率</x:v>
      </x:c>
      <x:c r="N56" s="9" t="str">
        <x:v>不拆到无独立资产负债表的部门；不预设统一红线</x:v>
      </x:c>
    </x:row>
    <x:row r="57" ht="42" customHeight="1">
      <x:c r="A57" s="4" t="str">
        <x:v>财务运营与成本管控模块</x:v>
      </x:c>
      <x:c r="B57" s="4" t="n">
        <x:v>10</x:v>
      </x:c>
      <x:c r="C57" s="4" t="n">
        <x:v>9</x:v>
      </x:c>
      <x:c r="D57" s="4" t="str">
        <x:v>利润率</x:v>
      </x:c>
      <x:c r="E57" s="4" t="str">
        <x:v>反映盈利能力的指标</x:v>
      </x:c>
      <x:c r="F57" s="4" t="str">
        <x:v>净利润 ÷ 总收入 × 100%</x:v>
      </x:c>
      <x:c r="G57" s="4" t="str">
        <x:v>时间、部门</x:v>
      </x:c>
      <x:c r="H57" s="4" t="str">
        <x:v>月/季度</x:v>
      </x:c>
      <x:c r="I57" s="4" t="str">
        <x:v>净利润、总收入</x:v>
      </x:c>
      <x:c r="J57" s="4" t="str">
        <x:v>财务系统</x:v>
      </x:c>
      <x:c r="K57" s="4" t="str">
        <x:v>修订口径</x:v>
      </x:c>
      <x:c r="L57" s="4" t="str">
        <x:v>FIN09</x:v>
      </x:c>
      <x:c r="M57" s="4" t="str">
        <x:v>净利润率（企业制度适用时）</x:v>
      </x:c>
      <x:c r="N57" s="4" t="str">
        <x:v>不与科研事业单位收支结余混用；非经营科研任务不按利润率排序</x:v>
      </x:c>
    </x:row>
    <x:row r="58" ht="42" customHeight="1">
      <x:c r="A58" s="9" t="str">
        <x:v>财务运营与成本管控模块</x:v>
      </x:c>
      <x:c r="B58" s="9" t="n">
        <x:v>11</x:v>
      </x:c>
      <x:c r="C58" s="9" t="n">
        <x:v>10</x:v>
      </x:c>
      <x:c r="D58" s="9" t="str">
        <x:v>运营费用率</x:v>
      </x:c>
      <x:c r="E58" s="9" t="str">
        <x:v>运营费用在总收入中的占比</x:v>
      </x:c>
      <x:c r="F58" s="9" t="str">
        <x:v>运营费用 ÷ 总收入 × 100%</x:v>
      </x:c>
      <x:c r="G58" s="9" t="str">
        <x:v>时间、部门</x:v>
      </x:c>
      <x:c r="H58" s="9" t="str">
        <x:v>月/季度</x:v>
      </x:c>
      <x:c r="I58" s="9" t="str">
        <x:v>运营费用、总收入</x:v>
      </x:c>
      <x:c r="J58" s="9" t="str">
        <x:v>财务系统</x:v>
      </x:c>
      <x:c r="K58" s="9" t="str">
        <x:v>修订口径</x:v>
      </x:c>
      <x:c r="L58" s="9" t="str">
        <x:v>FIN10</x:v>
      </x:c>
      <x:c r="M58" s="9" t="str">
        <x:v>期间费用率（企业制度适用时）</x:v>
      </x:c>
      <x:c r="N58" s="9" t="str">
        <x:v>明确是否含研发费用，当前建议不含且单列；映射待财务审定</x:v>
      </x:c>
    </x:row>
    <x:row r="59" ht="42" customHeight="1">
      <x:c r="A59" s="4" t="str">
        <x:v>人力资源效能发展</x:v>
      </x:c>
      <x:c r="B59" s="4" t="n">
        <x:v>2</x:v>
      </x:c>
      <x:c r="C59" s="4" t="n">
        <x:v>1</x:v>
      </x:c>
      <x:c r="D59" s="4" t="str">
        <x:v>科研/技术/管理占比</x:v>
      </x:c>
      <x:c r="E59" s="4" t="str">
        <x:v>各类岗位人数占比</x:v>
      </x:c>
      <x:c r="F59" s="4" t="str">
        <x:v>各岗位类别人数 ÷ 员工总数 × 100%</x:v>
      </x:c>
      <x:c r="G59" s="4" t="str">
        <x:v>时间、岗位类别</x:v>
      </x:c>
      <x:c r="H59" s="4" t="str">
        <x:v>月</x:v>
      </x:c>
      <x:c r="I59" s="4" t="str">
        <x:v>员工岗位类别、总人数</x:v>
      </x:c>
      <x:c r="J59" s="4" t="str">
        <x:v>HR系统</x:v>
      </x:c>
      <x:c r="K59" s="4" t="str">
        <x:v>复用统一口径</x:v>
      </x:c>
      <x:c r="L59" s="4" t="str">
        <x:v>HR01</x:v>
      </x:c>
      <x:c r="M59" s="4" t="str">
        <x:v>期末岗位类别人数占比</x:v>
      </x:c>
      <x:c r="N59" s="4" t="str">
        <x:v>科研/技术/管理分类应互斥穷尽；兼职只按确定主岗位统计</x:v>
      </x:c>
    </x:row>
    <x:row r="60" ht="42" customHeight="1">
      <x:c r="A60" s="9" t="str">
        <x:v>人力资源效能发展</x:v>
      </x:c>
      <x:c r="B60" s="9" t="n">
        <x:v>3</x:v>
      </x:c>
      <x:c r="C60" s="9" t="n">
        <x:v>2</x:v>
      </x:c>
      <x:c r="D60" s="9" t="str">
        <x:v>核心人才流失率</x:v>
      </x:c>
      <x:c r="E60" s="9" t="str">
        <x:v>关键岗位核心人才的流失比例</x:v>
      </x:c>
      <x:c r="F60" s="9" t="str">
        <x:v>期间离职核心人数 ÷ 核心岗位总人数 × 100%</x:v>
      </x:c>
      <x:c r="G60" s="9" t="str">
        <x:v>时间、部门</x:v>
      </x:c>
      <x:c r="H60" s="9" t="str">
        <x:v>月</x:v>
      </x:c>
      <x:c r="I60" s="9" t="str">
        <x:v>离职信息、核心岗位人数</x:v>
      </x:c>
      <x:c r="J60" s="9" t="str">
        <x:v>HR系统</x:v>
      </x:c>
      <x:c r="K60" s="9" t="str">
        <x:v>复用统一口径</x:v>
      </x:c>
      <x:c r="L60" s="9" t="str">
        <x:v>HR02</x:v>
      </x:c>
      <x:c r="M60" s="9" t="str">
        <x:v>核心人才主动离职率</x:v>
      </x:c>
      <x:c r="N60" s="9" t="str">
        <x:v>核心名录先冻结；退休、内部调动与主动离职分开；小样本限制展示</x:v>
      </x:c>
    </x:row>
    <x:row r="61" ht="42" customHeight="1">
      <x:c r="A61" s="4" t="str">
        <x:v>人力资源效能发展</x:v>
      </x:c>
      <x:c r="B61" s="4" t="n">
        <x:v>4</x:v>
      </x:c>
      <x:c r="C61" s="4" t="n">
        <x:v>3</x:v>
      </x:c>
      <x:c r="D61" s="4" t="str">
        <x:v>关键岗位空缺天数</x:v>
      </x:c>
      <x:c r="E61" s="4" t="str">
        <x:v>关键岗位出现空缺的累计天数</x:v>
      </x:c>
      <x:c r="F61" s="4" t="str">
        <x:v>Σ（岗位空缺天数）</x:v>
      </x:c>
      <x:c r="G61" s="4" t="str">
        <x:v>岗位、部门、时间</x:v>
      </x:c>
      <x:c r="H61" s="4" t="str">
        <x:v>月</x:v>
      </x:c>
      <x:c r="I61" s="4" t="str">
        <x:v>岗位空缺时间、岗位编号</x:v>
      </x:c>
      <x:c r="J61" s="4" t="str">
        <x:v>HR系统</x:v>
      </x:c>
      <x:c r="K61" s="4" t="str">
        <x:v>复用统一口径</x:v>
      </x:c>
      <x:c r="L61" s="4" t="str">
        <x:v>HR03</x:v>
      </x:c>
      <x:c r="M61" s="4" t="str">
        <x:v>关键岗位空缺人岗天数</x:v>
      </x:c>
      <x:c r="N61" s="4" t="str">
        <x:v>按缺口人数累计；同岗多名缺员不可只算一次；月末未补齐继续累计</x:v>
      </x:c>
    </x:row>
    <x:row r="62" ht="42" customHeight="1">
      <x:c r="A62" s="9" t="str">
        <x:v>人力资源效能发展</x:v>
      </x:c>
      <x:c r="B62" s="9" t="n">
        <x:v>5</x:v>
      </x:c>
      <x:c r="C62" s="9" t="n">
        <x:v>4</x:v>
      </x:c>
      <x:c r="D62" s="9" t="str">
        <x:v>人均薪酬</x:v>
      </x:c>
      <x:c r="E62" s="9" t="str">
        <x:v>员工人均薪酬水平</x:v>
      </x:c>
      <x:c r="F62" s="9" t="str">
        <x:v>总薪酬 ÷ 员工人数</x:v>
      </x:c>
      <x:c r="G62" s="9" t="str">
        <x:v>时间、部门</x:v>
      </x:c>
      <x:c r="H62" s="9" t="str">
        <x:v>月</x:v>
      </x:c>
      <x:c r="I62" s="9" t="str">
        <x:v>工资发放明细、员工名单</x:v>
      </x:c>
      <x:c r="J62" s="9" t="str">
        <x:v>HR/财务系统</x:v>
      </x:c>
      <x:c r="K62" s="9" t="str">
        <x:v>复用统一口径</x:v>
      </x:c>
      <x:c r="L62" s="9" t="str">
        <x:v>HR04</x:v>
      </x:c>
      <x:c r="M62" s="9" t="str">
        <x:v>人均应付薪酬</x:v>
      </x:c>
      <x:c r="N62" s="9" t="str">
        <x:v>不混用发放与计提；仅授权汇总，禁止通过小部门反推个人收入</x:v>
      </x:c>
    </x:row>
    <x:row r="63" ht="42" customHeight="1">
      <x:c r="A63" s="4" t="str">
        <x:v>人力资源效能发展</x:v>
      </x:c>
      <x:c r="B63" s="4" t="n">
        <x:v>6</x:v>
      </x:c>
      <x:c r="C63" s="4" t="n">
        <x:v>5</x:v>
      </x:c>
      <x:c r="D63" s="4" t="str">
        <x:v>人均科研产出</x:v>
      </x:c>
      <x:c r="E63" s="4" t="str">
        <x:v>科研岗位人均产出</x:v>
      </x:c>
      <x:c r="F63" s="4" t="str">
        <x:v>科研成果总数 ÷ 科研岗位人数</x:v>
      </x:c>
      <x:c r="G63" s="4" t="str">
        <x:v>时间、部门</x:v>
      </x:c>
      <x:c r="H63" s="4" t="str">
        <x:v>月</x:v>
      </x:c>
      <x:c r="I63" s="4" t="str">
        <x:v>科研成果、岗位信息</x:v>
      </x:c>
      <x:c r="J63" s="4" t="str">
        <x:v>科研/HR系统</x:v>
      </x:c>
      <x:c r="K63" s="4" t="str">
        <x:v>替换</x:v>
      </x:c>
      <x:c r="L63" s="4" t="str">
        <x:v>HR05</x:v>
      </x:c>
      <x:c r="M63" s="4" t="str">
        <x:v>验收通过代表性成果数</x:v>
      </x:c>
      <x:c r="N63" s="4" t="str">
        <x:v>替代人均科研产出；质量与任务贡献同行评议，不把论文/专利简单相加</x:v>
      </x:c>
    </x:row>
    <x:row r="64" ht="42" customHeight="1">
      <x:c r="A64" s="9" t="str">
        <x:v>人力资源效能发展</x:v>
      </x:c>
      <x:c r="B64" s="9" t="n">
        <x:v>7</x:v>
      </x:c>
      <x:c r="C64" s="9" t="n">
        <x:v>6</x:v>
      </x:c>
      <x:c r="D64" s="9" t="str">
        <x:v>培训投入产出比</x:v>
      </x:c>
      <x:c r="E64" s="9" t="str">
        <x:v>培训带来的效益与成本比</x:v>
      </x:c>
      <x:c r="F64" s="9" t="str">
        <x:v>培训后产出提升额 ÷ 培训投入总额</x:v>
      </x:c>
      <x:c r="G64" s="9" t="str">
        <x:v>部门、时间</x:v>
      </x:c>
      <x:c r="H64" s="9" t="str">
        <x:v>季度/半年</x:v>
      </x:c>
      <x:c r="I64" s="9" t="str">
        <x:v>培训费用、业绩提升数据</x:v>
      </x:c>
      <x:c r="J64" s="9" t="str">
        <x:v>HR/培训系统</x:v>
      </x:c>
      <x:c r="K64" s="9" t="str">
        <x:v>替换</x:v>
      </x:c>
      <x:c r="L64" s="9" t="str">
        <x:v>HR06</x:v>
      </x:c>
      <x:c r="M64" s="9" t="str">
        <x:v>到期岗位能力认证通过率</x:v>
      </x:c>
      <x:c r="N64" s="9" t="str">
        <x:v>替代难归因的培训投入产出比；只计签到不能证明能力形成</x:v>
      </x:c>
    </x:row>
    <x:row r="65" ht="42" customHeight="1">
      <x:c r="A65" s="4" t="str">
        <x:v>人力资源效能发展</x:v>
      </x:c>
      <x:c r="B65" s="4" t="n">
        <x:v>8</x:v>
      </x:c>
      <x:c r="C65" s="4" t="n">
        <x:v>7</x:v>
      </x:c>
      <x:c r="D65" s="4" t="str">
        <x:v>培训覆盖率</x:v>
      </x:c>
      <x:c r="E65" s="4" t="str">
        <x:v>接受培训员工占比</x:v>
      </x:c>
      <x:c r="F65" s="4" t="str">
        <x:v>参加培训人数 ÷ 员工总数 × 100%</x:v>
      </x:c>
      <x:c r="G65" s="4" t="str">
        <x:v>部门、时间</x:v>
      </x:c>
      <x:c r="H65" s="4" t="str">
        <x:v>月/季度</x:v>
      </x:c>
      <x:c r="I65" s="4" t="str">
        <x:v>培训名单、员工名单</x:v>
      </x:c>
      <x:c r="J65" s="4" t="str">
        <x:v>HR/培训系统</x:v>
      </x:c>
      <x:c r="K65" s="4" t="str">
        <x:v>修订口径</x:v>
      </x:c>
      <x:c r="L65" s="4" t="str">
        <x:v>HR07</x:v>
      </x:c>
      <x:c r="M65" s="4" t="str">
        <x:v>应训人员培训完成率</x:v>
      </x:c>
      <x:c r="N65" s="4" t="str">
        <x:v>分母是应训人员，非全员；不同培训类型分别计算</x:v>
      </x:c>
    </x:row>
    <x:row r="66" ht="42" customHeight="1">
      <x:c r="A66" s="9" t="str">
        <x:v>人力资源效能发展</x:v>
      </x:c>
      <x:c r="B66" s="9" t="n">
        <x:v>9</x:v>
      </x:c>
      <x:c r="C66" s="9" t="n">
        <x:v>8</x:v>
      </x:c>
      <x:c r="D66" s="9" t="str">
        <x:v>新员工转正率</x:v>
      </x:c>
      <x:c r="E66" s="9" t="str">
        <x:v>试用期新员工转正比例</x:v>
      </x:c>
      <x:c r="F66" s="9" t="str">
        <x:v>转正人数 ÷ 新员工数 × 100%</x:v>
      </x:c>
      <x:c r="G66" s="9" t="str">
        <x:v>部门、时间</x:v>
      </x:c>
      <x:c r="H66" s="9" t="str">
        <x:v>月/季度</x:v>
      </x:c>
      <x:c r="I66" s="9" t="str">
        <x:v>新员工数、转正人数</x:v>
      </x:c>
      <x:c r="J66" s="9" t="str">
        <x:v>HR系统</x:v>
      </x:c>
      <x:c r="K66" s="9" t="str">
        <x:v>修订口径</x:v>
      </x:c>
      <x:c r="L66" s="9" t="str">
        <x:v>HR08</x:v>
      </x:c>
      <x:c r="M66" s="9" t="str">
        <x:v>到期试用人员转正率</x:v>
      </x:c>
      <x:c r="N66" s="9" t="str">
        <x:v>试用内离职需纳入原到期队列；延期单列避免幸存者偏差</x:v>
      </x:c>
    </x:row>
    <x:row r="67" ht="42" customHeight="1">
      <x:c r="A67" s="4" t="str">
        <x:v>人力资源效能发展</x:v>
      </x:c>
      <x:c r="B67" s="4" t="n">
        <x:v>10</x:v>
      </x:c>
      <x:c r="C67" s="4" t="n">
        <x:v>9</x:v>
      </x:c>
      <x:c r="D67" s="4" t="str">
        <x:v>绩效优秀率</x:v>
      </x:c>
      <x:c r="E67" s="4" t="str">
        <x:v>绩效考核为优秀的员工比例</x:v>
      </x:c>
      <x:c r="F67" s="4" t="str">
        <x:v>优秀员工数 ÷ 总员工数 × 100%</x:v>
      </x:c>
      <x:c r="G67" s="4" t="str">
        <x:v>部门、时间</x:v>
      </x:c>
      <x:c r="H67" s="4" t="str">
        <x:v>月/季度</x:v>
      </x:c>
      <x:c r="I67" s="4" t="str">
        <x:v>绩效考核数据</x:v>
      </x:c>
      <x:c r="J67" s="4" t="str">
        <x:v>HR系统</x:v>
      </x:c>
      <x:c r="K67" s="4" t="str">
        <x:v>修订口径</x:v>
      </x:c>
      <x:c r="L67" s="4" t="str">
        <x:v>HR09</x:v>
      </x:c>
      <x:c r="M67" s="4" t="str">
        <x:v>有效考核人员优秀占比</x:v>
      </x:c>
      <x:c r="N67" s="4" t="str">
        <x:v>受优秀名额比例影响，只作分布统计；不当作部门能力排名</x:v>
      </x:c>
    </x:row>
    <x:row r="68" ht="42" customHeight="1">
      <x:c r="A68" s="9" t="str">
        <x:v>人力资源效能发展</x:v>
      </x:c>
      <x:c r="B68" s="9" t="n">
        <x:v>11</x:v>
      </x:c>
      <x:c r="C68" s="9" t="n">
        <x:v>10</x:v>
      </x:c>
      <x:c r="D68" s="9" t="str">
        <x:v>人力成本占比</x:v>
      </x:c>
      <x:c r="E68" s="9" t="str">
        <x:v>人力成本在总成本中的占比</x:v>
      </x:c>
      <x:c r="F68" s="9" t="str">
        <x:v>人力成本总额 ÷ 总成本 × 100%</x:v>
      </x:c>
      <x:c r="G68" s="9" t="str">
        <x:v>部门、时间</x:v>
      </x:c>
      <x:c r="H68" s="9" t="str">
        <x:v>月/季度</x:v>
      </x:c>
      <x:c r="I68" s="9" t="str">
        <x:v>人力成本、总成本</x:v>
      </x:c>
      <x:c r="J68" s="9" t="str">
        <x:v>HR/财务系统</x:v>
      </x:c>
      <x:c r="K68" s="9" t="str">
        <x:v>修订口径</x:v>
      </x:c>
      <x:c r="L68" s="9" t="str">
        <x:v>HR10</x:v>
      </x:c>
      <x:c r="M68" s="9" t="str">
        <x:v>人力成本占总成本比重</x:v>
      </x:c>
      <x:c r="N68" s="9" t="str">
        <x:v>避免直接人工与分摊人工重复；劳动密集程度差异不代表低效</x:v>
      </x:c>
    </x:row>
    <x:row r="69" ht="42" customHeight="1">
      <x:c r="A69" s="4" t="str">
        <x:v>生产运营与物料保障</x:v>
      </x:c>
      <x:c r="B69" s="4" t="n">
        <x:v>2</x:v>
      </x:c>
      <x:c r="C69" s="4" t="n">
        <x:v>1</x:v>
      </x:c>
      <x:c r="D69" s="4" t="str">
        <x:v>生产订单准时率</x:v>
      </x:c>
      <x:c r="E69" s="4" t="str">
        <x:v>按时完成生产订单占比</x:v>
      </x:c>
      <x:c r="F69" s="4" t="str">
        <x:v>按时完工订单数 ÷ 总订单数 × 100%</x:v>
      </x:c>
      <x:c r="G69" s="4" t="str">
        <x:v>时间、生产线</x:v>
      </x:c>
      <x:c r="H69" s="4" t="str">
        <x:v>日/周</x:v>
      </x:c>
      <x:c r="I69" s="4" t="str">
        <x:v>订单完成日期、计划日期、订单号</x:v>
      </x:c>
      <x:c r="J69" s="4" t="str">
        <x:v>MES/ERP系统</x:v>
      </x:c>
      <x:c r="K69" s="4" t="str">
        <x:v>复用统一口径</x:v>
      </x:c>
      <x:c r="L69" s="4" t="str">
        <x:v>MFG01</x:v>
      </x:c>
      <x:c r="M69" s="4" t="str">
        <x:v>到期生产订单按期完工率</x:v>
      </x:c>
      <x:c r="N69" s="4" t="str">
        <x:v>逾期未完成订单进入分母；按试制/批产区分；不等同客户验收交付</x:v>
      </x:c>
    </x:row>
    <x:row r="70" ht="42" customHeight="1">
      <x:c r="A70" s="9" t="str">
        <x:v>生产运营与物料保障</x:v>
      </x:c>
      <x:c r="B70" s="9" t="n">
        <x:v>3</x:v>
      </x:c>
      <x:c r="C70" s="9" t="n">
        <x:v>2</x:v>
      </x:c>
      <x:c r="D70" s="9" t="str">
        <x:v>一次合格率</x:v>
      </x:c>
      <x:c r="E70" s="9" t="str">
        <x:v>首检合格数量占总检验数的比例</x:v>
      </x:c>
      <x:c r="F70" s="9" t="str">
        <x:v>首检合格数量 ÷ 检验总数 × 100%</x:v>
      </x:c>
      <x:c r="G70" s="9" t="str">
        <x:v>时间、生产线</x:v>
      </x:c>
      <x:c r="H70" s="9" t="str">
        <x:v>日/周</x:v>
      </x:c>
      <x:c r="I70" s="9" t="str">
        <x:v>检验批次、合格批次</x:v>
      </x:c>
      <x:c r="J70" s="9" t="str">
        <x:v>MES/质检系统</x:v>
      </x:c>
      <x:c r="K70" s="9" t="str">
        <x:v>复用统一口径</x:v>
      </x:c>
      <x:c r="L70" s="9" t="str">
        <x:v>QUA01</x:v>
      </x:c>
      <x:c r="M70" s="9" t="str">
        <x:v>产品首次检验批次合格率</x:v>
      </x:c>
      <x:c r="N70" s="9" t="str">
        <x:v>原数量/批次混用；本版采用批次，不混入复检结果；未检批次另列</x:v>
      </x:c>
    </x:row>
    <x:row r="71" ht="42" customHeight="1">
      <x:c r="A71" s="4" t="str">
        <x:v>生产运营与物料保障</x:v>
      </x:c>
      <x:c r="B71" s="4" t="n">
        <x:v>4</x:v>
      </x:c>
      <x:c r="C71" s="4" t="n">
        <x:v>3</x:v>
      </x:c>
      <x:c r="D71" s="4" t="str">
        <x:v>单位制造成本</x:v>
      </x:c>
      <x:c r="E71" s="4" t="str">
        <x:v>单位产品制造的平均成本</x:v>
      </x:c>
      <x:c r="F71" s="4" t="str">
        <x:v>总制造成本 ÷ 产出数量</x:v>
      </x:c>
      <x:c r="G71" s="4" t="str">
        <x:v>时间、产品</x:v>
      </x:c>
      <x:c r="H71" s="4" t="str">
        <x:v>月</x:v>
      </x:c>
      <x:c r="I71" s="4" t="str">
        <x:v>制造成本、产量</x:v>
      </x:c>
      <x:c r="J71" s="4" t="str">
        <x:v>财务/生产系统</x:v>
      </x:c>
      <x:c r="K71" s="4" t="str">
        <x:v>复用统一口径</x:v>
      </x:c>
      <x:c r="L71" s="4" t="str">
        <x:v>FIN04</x:v>
      </x:c>
      <x:c r="M71" s="4" t="str">
        <x:v>同类合格产品单位制造成本</x:v>
      </x:c>
      <x:c r="N71" s="4" t="str">
        <x:v>合并单位产出成本与单位制造成本；科研项目不得以项目数充当产量</x:v>
      </x:c>
    </x:row>
    <x:row r="72" ht="42" customHeight="1">
      <x:c r="A72" s="9" t="str">
        <x:v>生产运营与物料保障</x:v>
      </x:c>
      <x:c r="B72" s="9" t="n">
        <x:v>5</x:v>
      </x:c>
      <x:c r="C72" s="9" t="n">
        <x:v>4</x:v>
      </x:c>
      <x:c r="D72" s="9" t="str">
        <x:v>库存周转率</x:v>
      </x:c>
      <x:c r="E72" s="9" t="str">
        <x:v>一定周期内库存流转次数</x:v>
      </x:c>
      <x:c r="F72" s="9" t="str">
        <x:v>销货成本 ÷ 平均库存余额</x:v>
      </x:c>
      <x:c r="G72" s="9" t="str">
        <x:v>时间、产品</x:v>
      </x:c>
      <x:c r="H72" s="9" t="str">
        <x:v>月</x:v>
      </x:c>
      <x:c r="I72" s="9" t="str">
        <x:v>销货成本、库存余额</x:v>
      </x:c>
      <x:c r="J72" s="9" t="str">
        <x:v>财务/仓储系统</x:v>
      </x:c>
      <x:c r="K72" s="9" t="str">
        <x:v>复用统一口径</x:v>
      </x:c>
      <x:c r="L72" s="9" t="str">
        <x:v>INV02</x:v>
      </x:c>
      <x:c r="M72" s="9" t="str">
        <x:v>原材料领用周转率</x:v>
      </x:c>
      <x:c r="N72" s="9" t="str">
        <x:v>明确替代通用库存周转率；不能把销货成本和材料领用任选；储备单列</x:v>
      </x:c>
    </x:row>
    <x:row r="73" ht="42" customHeight="1">
      <x:c r="A73" s="4" t="str">
        <x:v>生产运营与物料保障</x:v>
      </x:c>
      <x:c r="B73" s="4" t="n">
        <x:v>6</x:v>
      </x:c>
      <x:c r="C73" s="4" t="n">
        <x:v>5</x:v>
      </x:c>
      <x:c r="D73" s="4" t="str">
        <x:v>OEE</x:v>
      </x:c>
      <x:c r="E73" s="4" t="str">
        <x:v>设备综合效率</x:v>
      </x:c>
      <x:c r="F73" s="4" t="str">
        <x:v>OEE=开动率×性能稼动率×合格率</x:v>
      </x:c>
      <x:c r="G73" s="4" t="str">
        <x:v>时间、设备</x:v>
      </x:c>
      <x:c r="H73" s="4" t="str">
        <x:v>日/周</x:v>
      </x:c>
      <x:c r="I73" s="4" t="str">
        <x:v>设备运行、停机、产量、良品数</x:v>
      </x:c>
      <x:c r="J73" s="4" t="str">
        <x:v>MES/设备管理</x:v>
      </x:c>
      <x:c r="K73" s="4" t="str">
        <x:v>复用统一口径</x:v>
      </x:c>
      <x:c r="L73" s="4" t="str">
        <x:v>MFG02</x:v>
      </x:c>
      <x:c r="M73" s="4" t="str">
        <x:v>稳定批产设备OEE</x:v>
      </x:c>
      <x:c r="N73" s="4" t="str">
        <x:v>仅适用节拍可靠的批产；研发试验设备用FIN05；异质工序不可简单均值</x:v>
      </x:c>
    </x:row>
    <x:row r="74" ht="42" customHeight="1">
      <x:c r="A74" s="9" t="str">
        <x:v>生产运营与物料保障</x:v>
      </x:c>
      <x:c r="B74" s="9" t="n">
        <x:v>7</x:v>
      </x:c>
      <x:c r="C74" s="9" t="n">
        <x:v>6</x:v>
      </x:c>
      <x:c r="D74" s="9" t="str">
        <x:v>原材料到货合格率</x:v>
      </x:c>
      <x:c r="E74" s="9" t="str">
        <x:v>原材料进厂检验合格占比</x:v>
      </x:c>
      <x:c r="F74" s="9" t="str">
        <x:v>合格批次数 ÷ 到货批次数 × 100%</x:v>
      </x:c>
      <x:c r="G74" s="9" t="str">
        <x:v>时间、物料</x:v>
      </x:c>
      <x:c r="H74" s="9" t="str">
        <x:v>月</x:v>
      </x:c>
      <x:c r="I74" s="9" t="str">
        <x:v>到货批次、合格批次</x:v>
      </x:c>
      <x:c r="J74" s="9" t="str">
        <x:v>质检/仓储系统</x:v>
      </x:c>
      <x:c r="K74" s="9" t="str">
        <x:v>修订口径</x:v>
      </x:c>
      <x:c r="L74" s="9" t="str">
        <x:v>QUA02</x:v>
      </x:c>
      <x:c r="M74" s="9" t="str">
        <x:v>来料首次检验批次合格率</x:v>
      </x:c>
      <x:c r="N74" s="9" t="str">
        <x:v>原分母到货批次混入未检；让步接收、复检合格单列，不算首次合格</x:v>
      </x:c>
    </x:row>
    <x:row r="75" ht="42" customHeight="1">
      <x:c r="A75" s="4" t="str">
        <x:v>生产运营与物料保障</x:v>
      </x:c>
      <x:c r="B75" s="4" t="n">
        <x:v>8</x:v>
      </x:c>
      <x:c r="C75" s="4" t="n">
        <x:v>7</x:v>
      </x:c>
      <x:c r="D75" s="4" t="str">
        <x:v>平均生产周期</x:v>
      </x:c>
      <x:c r="E75" s="4" t="str">
        <x:v>单位产品从投料到完工的平均用时</x:v>
      </x:c>
      <x:c r="F75" s="4" t="str">
        <x:v>Σ（完工日-投料日） ÷ 生产批次</x:v>
      </x:c>
      <x:c r="G75" s="4" t="str">
        <x:v>时间、产品</x:v>
      </x:c>
      <x:c r="H75" s="4" t="str">
        <x:v>月</x:v>
      </x:c>
      <x:c r="I75" s="4" t="str">
        <x:v>投料日期、完工日期</x:v>
      </x:c>
      <x:c r="J75" s="4" t="str">
        <x:v>MES系统</x:v>
      </x:c>
      <x:c r="K75" s="4" t="str">
        <x:v>修订口径</x:v>
      </x:c>
      <x:c r="L75" s="4" t="str">
        <x:v>MFG03</x:v>
      </x:c>
      <x:c r="M75" s="4" t="str">
        <x:v>已完工批次平均生产周期</x:v>
      </x:c>
      <x:c r="N75" s="4" t="str">
        <x:v>整批完工口径需固定；同步关注在制超期，不只观察已完成批次</x:v>
      </x:c>
    </x:row>
    <x:row r="76" ht="42" customHeight="1">
      <x:c r="A76" s="9" t="str">
        <x:v>生产运营与物料保障</x:v>
      </x:c>
      <x:c r="B76" s="9" t="n">
        <x:v>9</x:v>
      </x:c>
      <x:c r="C76" s="9" t="n">
        <x:v>8</x:v>
      </x:c>
      <x:c r="D76" s="9" t="str">
        <x:v>在制品库存量</x:v>
      </x:c>
      <x:c r="E76" s="9" t="str">
        <x:v>生产过程中尚未完工的在制品库存数量</x:v>
      </x:c>
      <x:c r="F76" s="9" t="str">
        <x:v>期末在制品数量</x:v>
      </x:c>
      <x:c r="G76" s="9" t="str">
        <x:v>产品、时间</x:v>
      </x:c>
      <x:c r="H76" s="9" t="str">
        <x:v>日/周/月</x:v>
      </x:c>
      <x:c r="I76" s="9" t="str">
        <x:v>在制品盘点</x:v>
      </x:c>
      <x:c r="J76" s="9" t="str">
        <x:v>生产/仓储系统</x:v>
      </x:c>
      <x:c r="K76" s="9" t="str">
        <x:v>修订口径</x:v>
      </x:c>
      <x:c r="L76" s="9" t="str">
        <x:v>MFG04</x:v>
      </x:c>
      <x:c r="M76" s="9" t="str">
        <x:v>期末在制品数量</x:v>
      </x:c>
      <x:c r="N76" s="9" t="str">
        <x:v>不能跨不同单位或规格加总为一个全所产量；报废与待处置单列</x:v>
      </x:c>
    </x:row>
    <x:row r="77" ht="42" customHeight="1">
      <x:c r="A77" s="4" t="str">
        <x:v>生产运营与物料保障</x:v>
      </x:c>
      <x:c r="B77" s="4" t="n">
        <x:v>10</x:v>
      </x:c>
      <x:c r="C77" s="4" t="n">
        <x:v>9</x:v>
      </x:c>
      <x:c r="D77" s="4" t="str">
        <x:v>设备故障率</x:v>
      </x:c>
      <x:c r="E77" s="4" t="str">
        <x:v>设备在生产期间的故障频率</x:v>
      </x:c>
      <x:c r="F77" s="4" t="str">
        <x:v>故障次数 ÷ 设备数</x:v>
      </x:c>
      <x:c r="G77" s="4" t="str">
        <x:v>设备、时间</x:v>
      </x:c>
      <x:c r="H77" s="4" t="str">
        <x:v>月</x:v>
      </x:c>
      <x:c r="I77" s="4" t="str">
        <x:v>故障记录、设备台账</x:v>
      </x:c>
      <x:c r="J77" s="4" t="str">
        <x:v>设备管理系统</x:v>
      </x:c>
      <x:c r="K77" s="4" t="str">
        <x:v>替换</x:v>
      </x:c>
      <x:c r="L77" s="4" t="str">
        <x:v>MFG05</x:v>
      </x:c>
      <x:c r="M77" s="4" t="str">
        <x:v>设备故障停机时间占比</x:v>
      </x:c>
      <x:c r="N77" s="4" t="str">
        <x:v>替代故障次数÷设备数的模糊故障率；跨期停机按时段切分，重叠去重</x:v>
      </x:c>
    </x:row>
    <x:row r="78" ht="42" customHeight="1">
      <x:c r="A78" s="9" t="str">
        <x:v>生产运营与物料保障</x:v>
      </x:c>
      <x:c r="B78" s="9" t="n">
        <x:v>11</x:v>
      </x:c>
      <x:c r="C78" s="9" t="n">
        <x:v>10</x:v>
      </x:c>
      <x:c r="D78" s="9" t="str">
        <x:v>能源消耗强度</x:v>
      </x:c>
      <x:c r="E78" s="9" t="str">
        <x:v>单位产出对应的能耗</x:v>
      </x:c>
      <x:c r="F78" s="9" t="str">
        <x:v>总能耗 ÷ 总产出</x:v>
      </x:c>
      <x:c r="G78" s="9" t="str">
        <x:v>时间、产品</x:v>
      </x:c>
      <x:c r="H78" s="9" t="str">
        <x:v>月</x:v>
      </x:c>
      <x:c r="I78" s="9" t="str">
        <x:v>能源消耗、产量</x:v>
      </x:c>
      <x:c r="J78" s="9" t="str">
        <x:v>能源/生产系统</x:v>
      </x:c>
      <x:c r="K78" s="9" t="str">
        <x:v>修订口径</x:v>
      </x:c>
      <x:c r="L78" s="9" t="str">
        <x:v>MFG06</x:v>
      </x:c>
      <x:c r="M78" s="9" t="str">
        <x:v>同类合格产品能耗强度</x:v>
      </x:c>
      <x:c r="N78" s="9" t="str">
        <x:v>本版仅用电；蒸汽燃气需另立单位或审批折标系数；试验不套用件产量</x:v>
      </x:c>
    </x:row>
    <x:row r="79" ht="42" customHeight="1">
      <x:c r="A79" s="4" t="str">
        <x:v>供应链</x:v>
      </x:c>
      <x:c r="B79" s="4" t="n">
        <x:v>2</x:v>
      </x:c>
      <x:c r="C79" s="4" t="n">
        <x:v>1</x:v>
      </x:c>
      <x:c r="D79" s="4" t="str">
        <x:v>供应商准时交付率</x:v>
      </x:c>
      <x:c r="E79" s="4" t="str">
        <x:v>供应商按时交货的比例</x:v>
      </x:c>
      <x:c r="F79" s="4" t="str">
        <x:v>按时交货数 ÷ 总交货数 × 100%</x:v>
      </x:c>
      <x:c r="G79" s="4" t="str">
        <x:v>时间、供应商</x:v>
      </x:c>
      <x:c r="H79" s="4" t="str">
        <x:v>月</x:v>
      </x:c>
      <x:c r="I79" s="4" t="str">
        <x:v>交货日期、计划日期、供应商编号</x:v>
      </x:c>
      <x:c r="J79" s="4" t="str">
        <x:v>采购/供应链系统</x:v>
      </x:c>
      <x:c r="K79" s="4" t="str">
        <x:v>复用统一口径</x:v>
      </x:c>
      <x:c r="L79" s="4" t="str">
        <x:v>SUP01</x:v>
      </x:c>
      <x:c r="M79" s="4" t="str">
        <x:v>到期采购交期按时足量到货率</x:v>
      </x:c>
      <x:c r="N79" s="4" t="str">
        <x:v>逾期未到货计分母；分批交期独立；验收合格另看QUA02</x:v>
      </x:c>
    </x:row>
    <x:row r="80" ht="42" customHeight="1">
      <x:c r="A80" s="9" t="str">
        <x:v>供应链</x:v>
      </x:c>
      <x:c r="B80" s="9" t="n">
        <x:v>3</x:v>
      </x:c>
      <x:c r="C80" s="9" t="n">
        <x:v>2</x:v>
      </x:c>
      <x:c r="D80" s="9" t="str">
        <x:v>采购周期</x:v>
      </x:c>
      <x:c r="E80" s="9" t="str">
        <x:v>下单到收货的平均天数</x:v>
      </x:c>
      <x:c r="F80" s="9" t="str">
        <x:v>Σ（实际收货日 - 下单日）÷ 订单数</x:v>
      </x:c>
      <x:c r="G80" s="9" t="str">
        <x:v>时间、供应商、物料</x:v>
      </x:c>
      <x:c r="H80" s="9" t="str">
        <x:v>月</x:v>
      </x:c>
      <x:c r="I80" s="9" t="str">
        <x:v>下单日期、收货日期、订单号</x:v>
      </x:c>
      <x:c r="J80" s="9" t="str">
        <x:v>采购/ERP系统</x:v>
      </x:c>
      <x:c r="K80" s="9" t="str">
        <x:v>复用统一口径</x:v>
      </x:c>
      <x:c r="L80" s="9" t="str">
        <x:v>SUP02</x:v>
      </x:c>
      <x:c r="M80" s="9" t="str">
        <x:v>已收齐采购行平均到货周期</x:v>
      </x:c>
      <x:c r="N80" s="9" t="str">
        <x:v>只反映已收齐 cohort；未到货积压另看SUP11，避免快单偏差</x:v>
      </x:c>
    </x:row>
    <x:row r="81" ht="42" customHeight="1">
      <x:c r="A81" s="4" t="str">
        <x:v>供应链</x:v>
      </x:c>
      <x:c r="B81" s="4" t="n">
        <x:v>4</x:v>
      </x:c>
      <x:c r="C81" s="4" t="n">
        <x:v>3</x:v>
      </x:c>
      <x:c r="D81" s="4" t="str">
        <x:v>价格偏差</x:v>
      </x:c>
      <x:c r="E81" s="4" t="str">
        <x:v>实际采购均价与参考价差异</x:v>
      </x:c>
      <x:c r="F81" s="4" t="str">
        <x:v>(实际采购均价 - 参考价) ÷ 参考价 × 100%</x:v>
      </x:c>
      <x:c r="G81" s="4" t="str">
        <x:v>时间、物料、供应商</x:v>
      </x:c>
      <x:c r="H81" s="4" t="str">
        <x:v>月</x:v>
      </x:c>
      <x:c r="I81" s="4" t="str">
        <x:v>采购单价、参考价、物料编号</x:v>
      </x:c>
      <x:c r="J81" s="4" t="str">
        <x:v>采购/ERP系统</x:v>
      </x:c>
      <x:c r="K81" s="4" t="str">
        <x:v>复用统一口径</x:v>
      </x:c>
      <x:c r="L81" s="4" t="str">
        <x:v>SUP03</x:v>
      </x:c>
      <x:c r="M81" s="4" t="str">
        <x:v>同质采购价格偏差率</x:v>
      </x:c>
      <x:c r="N81" s="4" t="str">
        <x:v>不以降价抵消质量/保密要求；币种税口径一致；无参考价不计算</x:v>
      </x:c>
    </x:row>
    <x:row r="82" ht="42" customHeight="1">
      <x:c r="A82" s="9" t="str">
        <x:v>供应链</x:v>
      </x:c>
      <x:c r="B82" s="9" t="n">
        <x:v>5</x:v>
      </x:c>
      <x:c r="C82" s="9" t="n">
        <x:v>4</x:v>
      </x:c>
      <x:c r="D82" s="9" t="str">
        <x:v>供应商评分</x:v>
      </x:c>
      <x:c r="E82" s="9" t="str">
        <x:v>综合评定供应商能力得分</x:v>
      </x:c>
      <x:c r="F82" s="9" t="str">
        <x:v>客观打分（交付、价格、质量等加权）</x:v>
      </x:c>
      <x:c r="G82" s="9" t="str">
        <x:v>时间、供应商</x:v>
      </x:c>
      <x:c r="H82" s="9" t="str">
        <x:v>月/季度</x:v>
      </x:c>
      <x:c r="I82" s="9" t="str">
        <x:v>评分明细、各评分项</x:v>
      </x:c>
      <x:c r="J82" s="9" t="str">
        <x:v>供应商管理系统</x:v>
      </x:c>
      <x:c r="K82" s="9" t="str">
        <x:v>复用统一口径</x:v>
      </x:c>
      <x:c r="L82" s="9" t="str">
        <x:v>SUP04</x:v>
      </x:c>
      <x:c r="M82" s="9" t="str">
        <x:v>供应商分项履约评价</x:v>
      </x:c>
      <x:c r="N82" s="9" t="str">
        <x:v>替代未定义权重的综合分；资质/保密条件不允许被低价或高交付分抵消</x:v>
      </x:c>
    </x:row>
    <x:row r="83" ht="42" customHeight="1">
      <x:c r="A83" s="4" t="str">
        <x:v>供应链</x:v>
      </x:c>
      <x:c r="B83" s="4" t="n">
        <x:v>6</x:v>
      </x:c>
      <x:c r="C83" s="4" t="n">
        <x:v>5</x:v>
      </x:c>
      <x:c r="D83" s="4" t="str">
        <x:v>呆滞料金额</x:v>
      </x:c>
      <x:c r="E83" s="4" t="str">
        <x:v>超期未动用库存金额</x:v>
      </x:c>
      <x:c r="F83" s="4" t="str">
        <x:v>呆滞物料金额之和</x:v>
      </x:c>
      <x:c r="G83" s="4" t="str">
        <x:v>时间、物料类别</x:v>
      </x:c>
      <x:c r="H83" s="4" t="str">
        <x:v>月</x:v>
      </x:c>
      <x:c r="I83" s="4" t="str">
        <x:v>库存数量、库存时间、单价</x:v>
      </x:c>
      <x:c r="J83" s="4" t="str">
        <x:v>仓储/ERP系统</x:v>
      </x:c>
      <x:c r="K83" s="4" t="str">
        <x:v>复用统一口径</x:v>
      </x:c>
      <x:c r="L83" s="4" t="str">
        <x:v>INV01</x:v>
      </x:c>
      <x:c r="M83" s="4" t="str">
        <x:v>期末待处置呆滞库存金额</x:v>
      </x:c>
      <x:c r="N83" s="4" t="str">
        <x:v>先区分战略储备、专用备件及冻结物料；超期未动用不自动等于可处置</x:v>
      </x:c>
    </x:row>
    <x:row r="84" ht="42" customHeight="1">
      <x:c r="A84" s="9" t="str">
        <x:v>供应链</x:v>
      </x:c>
      <x:c r="B84" s="9" t="n">
        <x:v>7</x:v>
      </x:c>
      <x:c r="C84" s="9" t="n">
        <x:v>6</x:v>
      </x:c>
      <x:c r="D84" s="9" t="str">
        <x:v>物料缺货率</x:v>
      </x:c>
      <x:c r="E84" s="9" t="str">
        <x:v>需求未满足的物料数量占比</x:v>
      </x:c>
      <x:c r="F84" s="9" t="str">
        <x:v>缺货数量 ÷ 需求总数 × 100%</x:v>
      </x:c>
      <x:c r="G84" s="9" t="str">
        <x:v>时间、物料类别</x:v>
      </x:c>
      <x:c r="H84" s="9" t="str">
        <x:v>月</x:v>
      </x:c>
      <x:c r="I84" s="9" t="str">
        <x:v>缺货数量、需求总数</x:v>
      </x:c>
      <x:c r="J84" s="9" t="str">
        <x:v>仓储/采购系统</x:v>
      </x:c>
      <x:c r="K84" s="9" t="str">
        <x:v>修订口径</x:v>
      </x:c>
      <x:c r="L84" s="9" t="str">
        <x:v>SUP05</x:v>
      </x:c>
      <x:c r="M84" s="9" t="str">
        <x:v>到期物料需求未满足行占比</x:v>
      </x:c>
      <x:c r="N84" s="9" t="str">
        <x:v>替换跨物料数量相加；冻结、隔离、不属于该项目可用范围的库存不可算满足</x:v>
      </x:c>
    </x:row>
    <x:row r="85" ht="42" customHeight="1">
      <x:c r="A85" s="4" t="str">
        <x:v>供应链</x:v>
      </x:c>
      <x:c r="B85" s="4" t="n">
        <x:v>8</x:v>
      </x:c>
      <x:c r="C85" s="4" t="n">
        <x:v>7</x:v>
      </x:c>
      <x:c r="D85" s="4" t="str">
        <x:v>采购及时率</x:v>
      </x:c>
      <x:c r="E85" s="4" t="str">
        <x:v>采购需求及时下单比例</x:v>
      </x:c>
      <x:c r="F85" s="4" t="str">
        <x:v>及时下单数 ÷ 采购需求数 × 100%</x:v>
      </x:c>
      <x:c r="G85" s="4" t="str">
        <x:v>时间、采购员、类别</x:v>
      </x:c>
      <x:c r="H85" s="4" t="str">
        <x:v>月</x:v>
      </x:c>
      <x:c r="I85" s="4" t="str">
        <x:v>采购需求、下单时间</x:v>
      </x:c>
      <x:c r="J85" s="4" t="str">
        <x:v>采购系统</x:v>
      </x:c>
      <x:c r="K85" s="4" t="str">
        <x:v>修订口径</x:v>
      </x:c>
      <x:c r="L85" s="4" t="str">
        <x:v>SUP06</x:v>
      </x:c>
      <x:c r="M85" s="4" t="str">
        <x:v>到期采购需求及时下单率</x:v>
      </x:c>
      <x:c r="N85" s="4" t="str">
        <x:v>与到货率不同；要求日期由批准需用日和采购提前期推导，不回填美化</x:v>
      </x:c>
    </x:row>
    <x:row r="86" ht="42" customHeight="1">
      <x:c r="A86" s="9" t="str">
        <x:v>供应链</x:v>
      </x:c>
      <x:c r="B86" s="9" t="n">
        <x:v>9</x:v>
      </x:c>
      <x:c r="C86" s="9" t="n">
        <x:v>8</x:v>
      </x:c>
      <x:c r="D86" s="9" t="str">
        <x:v>主要物料集中度</x:v>
      </x:c>
      <x:c r="E86" s="9" t="str">
        <x:v>主材采购来自前N家供应商的占比</x:v>
      </x:c>
      <x:c r="F86" s="9" t="str">
        <x:v>前N家供应商采购金额 ÷ 总采购金额 × 100%</x:v>
      </x:c>
      <x:c r="G86" s="9" t="str">
        <x:v>时间、物料类别</x:v>
      </x:c>
      <x:c r="H86" s="9" t="str">
        <x:v>季度</x:v>
      </x:c>
      <x:c r="I86" s="9" t="str">
        <x:v>供应商采购金额</x:v>
      </x:c>
      <x:c r="J86" s="9" t="str">
        <x:v>采购/ERP系统</x:v>
      </x:c>
      <x:c r="K86" s="9" t="str">
        <x:v>修订口径</x:v>
      </x:c>
      <x:c r="L86" s="9" t="str">
        <x:v>SUP07</x:v>
      </x:c>
      <x:c r="M86" s="9" t="str">
        <x:v>主要物料前N家供应商采购集中度</x:v>
      </x:c>
      <x:c r="N86" s="9" t="str">
        <x:v>N和集团关联供应商合并规则固定；集中不自动等于高风险</x:v>
      </x:c>
    </x:row>
    <x:row r="87" ht="42" customHeight="1">
      <x:c r="A87" s="4" t="str">
        <x:v>供应链</x:v>
      </x:c>
      <x:c r="B87" s="4" t="n">
        <x:v>10</x:v>
      </x:c>
      <x:c r="C87" s="4" t="n">
        <x:v>9</x:v>
      </x:c>
      <x:c r="D87" s="4" t="str">
        <x:v>供应风险指数</x:v>
      </x:c>
      <x:c r="E87" s="4" t="str">
        <x:v>供应链中断风险的综合评价</x:v>
      </x:c>
      <x:c r="F87" s="4" t="str">
        <x:v>多指标综合评分（交付、集中度、替代性等）</x:v>
      </x:c>
      <x:c r="G87" s="4" t="str">
        <x:v>供应商、类别</x:v>
      </x:c>
      <x:c r="H87" s="4" t="str">
        <x:v>季度</x:v>
      </x:c>
      <x:c r="I87" s="4" t="str">
        <x:v>多维度评分项</x:v>
      </x:c>
      <x:c r="J87" s="4" t="str">
        <x:v>供应链管理系统</x:v>
      </x:c>
      <x:c r="K87" s="4" t="str">
        <x:v>替换</x:v>
      </x:c>
      <x:c r="L87" s="4" t="str">
        <x:v>SUP08</x:v>
      </x:c>
      <x:c r="M87" s="4" t="str">
        <x:v>关键物料无合格替代来源占比</x:v>
      </x:c>
      <x:c r="N87" s="4" t="str">
        <x:v>替代不透明供应风险指数；设计指定单一来源单列原因，不强行替代</x:v>
      </x:c>
    </x:row>
    <x:row r="88" ht="42" customHeight="1">
      <x:c r="A88" s="9" t="str">
        <x:v>供应链</x:v>
      </x:c>
      <x:c r="B88" s="9" t="n">
        <x:v>11</x:v>
      </x:c>
      <x:c r="C88" s="9" t="n">
        <x:v>10</x:v>
      </x:c>
      <x:c r="D88" s="9" t="str">
        <x:v>合同履约率</x:v>
      </x:c>
      <x:c r="E88" s="9" t="str">
        <x:v>供应商履约合同的比例</x:v>
      </x:c>
      <x:c r="F88" s="9" t="str">
        <x:v>履约合同数 ÷ 总合同数 × 100%</x:v>
      </x:c>
      <x:c r="G88" s="9" t="str">
        <x:v>时间、供应商</x:v>
      </x:c>
      <x:c r="H88" s="9" t="str">
        <x:v>月</x:v>
      </x:c>
      <x:c r="I88" s="9" t="str">
        <x:v>合同履约情况</x:v>
      </x:c>
      <x:c r="J88" s="9" t="str">
        <x:v>采购/合同管理系统</x:v>
      </x:c>
      <x:c r="K88" s="9" t="str">
        <x:v>修订口径</x:v>
      </x:c>
      <x:c r="L88" s="9" t="str">
        <x:v>SUP09</x:v>
      </x:c>
      <x:c r="M88" s="9" t="str">
        <x:v>到期采购合同完整履约率</x:v>
      </x:c>
      <x:c r="N88" s="9" t="str">
        <x:v>不能把交货当全部履约；无明确到期或义务清单时先不计算</x:v>
      </x:c>
    </x:row>
  </x:sheetData>
  <x:pageMargins left="0.7" right="0.7" top="0.75" bottom="0.75" header="0.3" footer="0.3"/>
  <x:tableParts count="1">
    <x:tablePart xmlns:r="http://schemas.openxmlformats.org/officeDocument/2006/relationships" r:id="R0a158b8560294f2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80" hidden="0" customWidth="1"/>
    <x:col min="4" max="4" width="64" hidden="0" customWidth="1"/>
    <x:col min="5" max="5" width="76" hidden="0" customWidth="1"/>
  </x:cols>
  <x:sheetData>
    <x:row r="2">
      <x:c r="A2" s="1" t="str">
        <x:v>参考材料的采用、纠错与边界</x:v>
      </x:c>
    </x:row>
    <x:row r="4" ht="32" customHeight="1">
      <x:c r="A4" s="8" t="str">
        <x:v>编号</x:v>
      </x:c>
      <x:c r="B4" s="8" t="str">
        <x:v>来源文件/公开资料</x:v>
      </x:c>
      <x:c r="C4" s="8" t="str">
        <x:v>定位/链接</x:v>
      </x:c>
      <x:c r="D4" s="8" t="str">
        <x:v>发现与用途</x:v>
      </x:c>
      <x:c r="E4" s="8" t="str">
        <x:v>处理建议</x:v>
      </x:c>
    </x:row>
    <x:row r="5" ht="42" customHeight="1">
      <x:c r="A5" s="4" t="str">
        <x:v>R01</x:v>
      </x:c>
      <x:c r="B5" s="4" t="str">
        <x:v>10所指标列表说明_20250618.xlsx</x:v>
      </x:c>
      <x:c r="C5" s="4" t="str">
        <x:v>6个工作表，第2行起</x:v>
      </x:c>
      <x:c r="D5" s="4" t="str">
        <x:v>主评审依据；原84条全部保留映射</x:v>
      </x:c>
      <x:c r="E5" s="4" t="str">
        <x:v>原项逐条评审记录原位置、原定义和原公式。</x:v>
      </x:c>
    </x:row>
    <x:row r="6" ht="42" customHeight="1">
      <x:c r="A6" s="9" t="str">
        <x:v>R02</x:v>
      </x:c>
      <x:c r="B6" s="9" t="str">
        <x:v>业务主题及相关指标_V1_20260115.xlsx</x:v>
      </x:c>
      <x:c r="C6" s="9" t="str">
        <x:v>指标清单!C37:F37</x:v>
      </x:c>
      <x:c r="D6" s="9" t="str">
        <x:v>项目总数填写了里程碑准时率公式</x:v>
      </x:c>
      <x:c r="E6" s="9" t="str">
        <x:v>项目总数应按项目ID和范围去重；PRJ01为新立项流量，PRJ10为期末在研，不能替代全口径历史项目总数。</x:v>
      </x:c>
    </x:row>
    <x:row r="7" ht="42" customHeight="1">
      <x:c r="A7" s="4" t="str">
        <x:v>R03</x:v>
      </x:c>
      <x:c r="B7" s="4" t="str">
        <x:v>业务主题及相关指标_V1_20260115.xlsx</x:v>
      </x:c>
      <x:c r="C7" s="4" t="str">
        <x:v>指标清单!C2:F2；问题清单!C2:D3</x:v>
      </x:c>
      <x:c r="D7" s="4" t="str">
        <x:v>库存金额/科研经费混合存量与期间投入，且历史问题单提示分母和库存来源不齐</x:v>
      </x:c>
      <x:c r="E7" s="4" t="str">
        <x:v>优先INV03库存金额及PRJ12预算执行率；如保留占用比需锁定同项目范围、全周期预算并改名，不作周转效率。</x:v>
      </x:c>
    </x:row>
    <x:row r="8" ht="42" customHeight="1">
      <x:c r="A8" s="9" t="str">
        <x:v>R04</x:v>
      </x:c>
      <x:c r="B8" s="9" t="str">
        <x:v>业务主题及相关指标_V1_20260115.xlsx</x:v>
      </x:c>
      <x:c r="C8" s="9" t="str">
        <x:v>指标清单!C9:F11</x:v>
      </x:c>
      <x:c r="D8" s="9" t="str">
        <x:v>紧缺数量直接相加可能重计；效期按SKU掩盖批次风险；盘点净差异会抵消盈亏</x:v>
      </x:c>
      <x:c r="E8" s="9" t="str">
        <x:v>按需求行去重计算SUP05；批次金额INV05；绝对差异INV06。</x:v>
      </x:c>
    </x:row>
    <x:row r="9" ht="42" customHeight="1">
      <x:c r="A9" s="4" t="str">
        <x:v>R05</x:v>
      </x:c>
      <x:c r="B9" s="4" t="str">
        <x:v>业务主题及相关指标_V1_20260115.xlsx</x:v>
      </x:c>
      <x:c r="C9" s="4" t="str">
        <x:v>指标清单!C14:F18</x:v>
      </x:c>
      <x:c r="D9" s="4" t="str">
        <x:v>准时率遗漏未到货；平均延迟混入提前到货；紧急采购等同未经流程；单一来源混用种类和金额</x:v>
      </x:c>
      <x:c r="E9" s="4" t="str">
        <x:v>采用SUP01/SUP11、SUP10、SUP08；已完工周期与未完成积压分列。</x:v>
      </x:c>
    </x:row>
    <x:row r="10" ht="42" customHeight="1">
      <x:c r="A10" s="9" t="str">
        <x:v>R06</x:v>
      </x:c>
      <x:c r="B10" s="9" t="str">
        <x:v>业务主题及相关指标_V1_20260115.xlsx</x:v>
      </x:c>
      <x:c r="C10" s="9" t="str">
        <x:v>指标清单!C5:F7、C12:F13、C19:F22、C29:F35、C41:F41</x:v>
      </x:c>
      <x:c r="D10" s="9" t="str">
        <x:v>图表与指标混排，多图重复引用同一指标</x:v>
      </x:c>
      <x:c r="E10" s="9" t="str">
        <x:v>图表作为视图复用统一指标；旭日、甘特、趋势不另算一个业务指标。</x:v>
      </x:c>
    </x:row>
    <x:row r="11" ht="42" customHeight="1">
      <x:c r="A11" s="4" t="str">
        <x:v>R07</x:v>
      </x:c>
      <x:c r="B11" s="4" t="str">
        <x:v>业务主题及相关指标_V1_20260115.xlsx</x:v>
      </x:c>
      <x:c r="C11" s="4" t="str">
        <x:v>指标清单!C25:F28</x:v>
      </x:c>
      <x:c r="D11" s="4" t="str">
        <x:v>人均经费与单位成果经费不宜跨类型排名；结余率名为平均实为加权；预算调整净额抵消反复调整</x:v>
      </x:c>
      <x:c r="E11" s="4" t="str">
        <x:v>人均经费仅作资源描述；成果按类型评价；预算变更看FIN11，结余应按适用财务制度审定。</x:v>
      </x:c>
    </x:row>
    <x:row r="12" ht="42" customHeight="1">
      <x:c r="A12" s="9" t="str">
        <x:v>R08</x:v>
      </x:c>
      <x:c r="B12" s="9" t="str">
        <x:v>业务主题及相关指标_V1_20260115.xlsx</x:v>
      </x:c>
      <x:c r="C12" s="9" t="str">
        <x:v>问题清单!C2:D6</x:v>
      </x:c>
      <x:c r="D12" s="9" t="str">
        <x:v>历史记录涉及经费无系统支撑、库存不准、项目树、考勤和数据分层</x:v>
      </x:c>
      <x:c r="E12" s="9" t="str">
        <x:v>仅作为验源清单；手工填报需要期间、凭证、填报人、复核人、修订记录；加班不直接等同科研产出。</x:v>
      </x:c>
    </x:row>
    <x:row r="13" ht="42" customHeight="1">
      <x:c r="A13" s="4" t="str">
        <x:v>R09</x:v>
      </x:c>
      <x:c r="B13" s="4" t="str">
        <x:v>业务主题及相关指标_20251225_初稿.xlsx</x:v>
      </x:c>
      <x:c r="C13" s="4" t="str">
        <x:v>Sheet1!C14:E19、C38:E38</x:v>
      </x:c>
      <x:c r="D13" s="4" t="str">
        <x:v>准时交付率重复；项目总数公式错误已延续至V1</x:v>
      </x:c>
      <x:c r="E13" s="4" t="str">
        <x:v>以V1结构作近版参考，但不默认公式正确；同口径编码复用。</x:v>
      </x:c>
    </x:row>
    <x:row r="14" ht="42" customHeight="1">
      <x:c r="A14" s="9" t="str">
        <x:v>R10</x:v>
      </x:c>
      <x:c r="B14" s="9" t="str">
        <x:v>指标模型参考_核心指标.xlsx</x:v>
      </x:c>
      <x:c r="C14" s="9" t="str">
        <x:v>指标评价模型 (离散) !D12:G16、D45:G46、D59:G59</x:v>
      </x:c>
      <x:c r="D14" s="9" t="str">
        <x:v>可借鉴到期节点、变更执行、问题关闭及设备可靠性思路</x:v>
      </x:c>
      <x:c r="E14" s="9" t="str">
        <x:v>选用PRJ03、PRJ14、QUA03；原变更指标任务/订单分子分母不一致需纠正。</x:v>
      </x:c>
    </x:row>
    <x:row r="15" ht="42" customHeight="1">
      <x:c r="A15" s="4" t="str">
        <x:v>R11</x:v>
      </x:c>
      <x:c r="B15" s="4" t="str">
        <x:v>指标模型参考_核心指标.xlsx</x:v>
      </x:c>
      <x:c r="C15" s="4" t="str">
        <x:v>指标评价模型 (离散) !D54:G54、D95:G95</x:v>
      </x:c>
      <x:c r="D15" s="4" t="str">
        <x:v>来料检验分母写送检合格总批次；成本预算偏差分母写决算成本</x:v>
      </x:c>
      <x:c r="E15" s="4" t="str">
        <x:v>来料用全部完成首次检验批次；预算偏差按目标预算作分母时应另明确名称及零预算规则。</x:v>
      </x:c>
    </x:row>
    <x:row r="16" ht="42" customHeight="1">
      <x:c r="A16" s="9" t="str">
        <x:v>R12</x:v>
      </x:c>
      <x:c r="B16" s="9" t="str">
        <x:v>指标模型参考_核心指标.xlsx</x:v>
      </x:c>
      <x:c r="C16" s="9" t="str">
        <x:v>指标评价模型 (离散) !C3:G161</x:v>
      </x:c>
      <x:c r="D16" s="9" t="str">
        <x:v>集团数字化评价含平台权重、在线化、少人化和固定阈值</x:v>
      </x:c>
      <x:c r="E16" s="9" t="str">
        <x:v>不照搬权重和阈值；在线化不等于履约与科研质量；少人化不能代替关键能力保障。</x:v>
      </x:c>
    </x:row>
    <x:row r="17" ht="42" customHeight="1">
      <x:c r="A17" s="4" t="str">
        <x:v>R13</x:v>
      </x:c>
      <x:c r="B17" s="4" t="str">
        <x:v>国家保密局：国家秘密定密管理规定</x:v>
      </x:c>
      <x:c r="C17" s="4" t="str">
        <x:v>https://www.gjbmj.gov.cn/n1/2025/0328/c441634-40449185.html</x:v>
      </x:c>
      <x:c r="D17" s="4" t="str">
        <x:v>公开规范背景：关注汇聚、关联后的数据及知悉范围</x:v>
      </x:c>
      <x:c r="E17" s="4" t="str">
        <x:v>检索日期2026-09-23；仅支持保密管理方向，不为该单位或每项指标判定密级。</x:v>
      </x:c>
    </x:row>
    <x:row r="18" ht="42" customHeight="1">
      <x:c r="A18" s="9" t="str">
        <x:v>R14</x:v>
      </x:c>
      <x:c r="B18" s="9" t="str">
        <x:v>财政部：国务院关于优化科研管理提升科研绩效若干措施的通知</x:v>
      </x:c>
      <x:c r="C18" s="9" t="str">
        <x:v>https://www.mof.gov.cn/zhengwuxinxi/caizhengxinwen/201807/t20180725_2971975.htm</x:v>
      </x:c>
      <x:c r="D18" s="9" t="str">
        <x:v>公开政策背景：突出代表性成果和项目实施效果评价</x:v>
      </x:c>
      <x:c r="E18" s="9" t="str">
        <x:v>检索日期2026-09-23；用于评价设计参考，不替代单位实际适用制度。</x:v>
      </x:c>
    </x:row>
  </x:sheetData>
  <x:pageMargins left="0.7" right="0.7" top="0.75" bottom="0.75" header="0.3" footer="0.3"/>
  <x:tableParts count="1">
    <x:tablePart xmlns:r="http://schemas.openxmlformats.org/officeDocument/2006/relationships" r:id="R9cdc67480dc44e5f"/>
  </x:tableParts>
</x:worksheet>
</file>