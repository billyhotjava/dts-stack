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060"/>
  </bookViews>
  <sheets>
    <sheet name="驾驶舱" sheetId="1" r:id="rId1"/>
    <sheet name="项目生命周期" sheetId="2" r:id="rId2"/>
    <sheet name="财务运营与成本管控模块" sheetId="3" r:id="rId3"/>
    <sheet name="人力资源效能发展" sheetId="4" r:id="rId4"/>
    <sheet name="生产运营与物料保障" sheetId="5" r:id="rId5"/>
    <sheet name="供应链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6" l="1"/>
  <c r="A10" i="6"/>
  <c r="A9" i="6"/>
  <c r="A8" i="6"/>
  <c r="A7" i="6"/>
  <c r="A6" i="6"/>
  <c r="A5" i="6"/>
  <c r="A4" i="6"/>
  <c r="A3" i="6"/>
  <c r="A11" i="5"/>
  <c r="A10" i="5"/>
  <c r="A9" i="5"/>
  <c r="A8" i="5"/>
  <c r="A7" i="5"/>
  <c r="A6" i="5"/>
  <c r="A5" i="5"/>
  <c r="A4" i="5"/>
  <c r="A3" i="5"/>
  <c r="A11" i="4"/>
  <c r="A10" i="4"/>
  <c r="A9" i="4"/>
  <c r="A8" i="4"/>
  <c r="A7" i="4"/>
  <c r="A6" i="4"/>
  <c r="A5" i="4"/>
  <c r="A4" i="4"/>
  <c r="A3" i="4"/>
  <c r="A11" i="3"/>
  <c r="A10" i="3"/>
  <c r="A9" i="3"/>
  <c r="A8" i="3"/>
  <c r="A7" i="3"/>
  <c r="A6" i="3"/>
  <c r="A5" i="3"/>
  <c r="A4" i="3"/>
  <c r="A3" i="3"/>
  <c r="A14" i="2"/>
  <c r="A13" i="2"/>
  <c r="A12" i="2"/>
  <c r="A11" i="2"/>
  <c r="A10" i="2"/>
  <c r="A9" i="2"/>
  <c r="A8" i="2"/>
  <c r="A7" i="2"/>
  <c r="A6" i="2"/>
  <c r="A5" i="2"/>
  <c r="A4" i="2"/>
  <c r="A3" i="2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<sst xmlns="http://schemas.openxmlformats.org/spreadsheetml/2006/main" count="637" uniqueCount="287">
  <si>
    <t>序号</t>
  </si>
  <si>
    <t>指标名称</t>
  </si>
  <si>
    <t>指标定义</t>
  </si>
  <si>
    <t>计算公式</t>
  </si>
  <si>
    <t>统计维度</t>
  </si>
  <si>
    <t>更新频率</t>
  </si>
  <si>
    <t>所需数据项</t>
  </si>
  <si>
    <t>数据来源</t>
  </si>
  <si>
    <t>项目立项数</t>
  </si>
  <si>
    <t>某周期内新立项项目数量</t>
  </si>
  <si>
    <t>统计周期内新建项目数量</t>
  </si>
  <si>
    <t>时间、部门、类型</t>
  </si>
  <si>
    <t>月</t>
  </si>
  <si>
    <t>项目编号、立项日期、部门、类型</t>
  </si>
  <si>
    <t>项目管理系统</t>
  </si>
  <si>
    <t>项目结题率</t>
  </si>
  <si>
    <t>某周期内已结题项目占比</t>
  </si>
  <si>
    <t>结题项目数 ÷ 立项项目总数 × 100%</t>
  </si>
  <si>
    <t>项目结题状态、立项数</t>
  </si>
  <si>
    <t>里程碑准时率</t>
  </si>
  <si>
    <t>关键里程碑节点按时完成的比例</t>
  </si>
  <si>
    <t>按时完成里程碑数 ÷ 总应完成里程碑数 × 100%</t>
  </si>
  <si>
    <t>时间、项目、部门</t>
  </si>
  <si>
    <t>计划完成日期、实际完成日期</t>
  </si>
  <si>
    <t>平均执行周期</t>
  </si>
  <si>
    <t>项目从立项到结题的平均天数</t>
  </si>
  <si>
    <t>Σ（项目结题日-立项日） ÷ 项目数</t>
  </si>
  <si>
    <t>立项日期、结题日期</t>
  </si>
  <si>
    <t>文档齐备率</t>
  </si>
  <si>
    <t>项目结题归档文档的齐全比例</t>
  </si>
  <si>
    <t>文档齐备项目数 ÷ 总结题项目数 × 100%</t>
  </si>
  <si>
    <t>项目档案记录</t>
  </si>
  <si>
    <t>档案/项目系统</t>
  </si>
  <si>
    <t>经费分布</t>
  </si>
  <si>
    <t>各项目类别经费投入的分布情况</t>
  </si>
  <si>
    <t>按项目类别汇总各经费金额</t>
  </si>
  <si>
    <t>时间、项目类别</t>
  </si>
  <si>
    <t>项目类别、经费金额</t>
  </si>
  <si>
    <t>项目管理/财务</t>
  </si>
  <si>
    <t>专利/论文数</t>
  </si>
  <si>
    <t>某周期内产出的专利和论文数量</t>
  </si>
  <si>
    <t>统计周期内专利、论文数量</t>
  </si>
  <si>
    <t>时间、部门</t>
  </si>
  <si>
    <t>专利、论文登记数据</t>
  </si>
  <si>
    <t>知识产权系统</t>
  </si>
  <si>
    <t>成果转化合同额</t>
  </si>
  <si>
    <t>某周期内成果转化签约合同总金额</t>
  </si>
  <si>
    <t>统计周期内相关合同金额总和</t>
  </si>
  <si>
    <t>时间、合同类型</t>
  </si>
  <si>
    <t>合同金额、合同类型、签约日期</t>
  </si>
  <si>
    <t>合同/成果系统</t>
  </si>
  <si>
    <t>总收入</t>
  </si>
  <si>
    <t>某周期内全部收入总额</t>
  </si>
  <si>
    <t>汇总全部收入科目</t>
  </si>
  <si>
    <t>各收入科目金额</t>
  </si>
  <si>
    <t>财务系统</t>
  </si>
  <si>
    <t>总支出</t>
  </si>
  <si>
    <t>某周期内全部支出总额</t>
  </si>
  <si>
    <t>汇总全部支出科目</t>
  </si>
  <si>
    <t>各支出科目金额</t>
  </si>
  <si>
    <t>净结余</t>
  </si>
  <si>
    <t>收入减去支出的余额</t>
  </si>
  <si>
    <t>总收入 - 总支出</t>
  </si>
  <si>
    <t>总收入、总支出</t>
  </si>
  <si>
    <t>单位产出成本</t>
  </si>
  <si>
    <t>单件产品/项目平均制造成本</t>
  </si>
  <si>
    <t>制造总成本 ÷ 产出总量</t>
  </si>
  <si>
    <t>时间、产品</t>
  </si>
  <si>
    <t>总成本、产出数量</t>
  </si>
  <si>
    <t>财务/生产系统</t>
  </si>
  <si>
    <t>固定资产ROI</t>
  </si>
  <si>
    <t>固定资产投资回报率</t>
  </si>
  <si>
    <t>固定资产收益 ÷ 固定资产净值 × 100%</t>
  </si>
  <si>
    <t>时间、资产类别</t>
  </si>
  <si>
    <t>季度</t>
  </si>
  <si>
    <t>固定资产净值、收益</t>
  </si>
  <si>
    <t>财务/资产系统</t>
  </si>
  <si>
    <t>三公经费偏差</t>
  </si>
  <si>
    <t>实际三公经费与预算差异</t>
  </si>
  <si>
    <t>(实际 - 预算) ÷ 预算 × 100%</t>
  </si>
  <si>
    <t>实际、预算金额</t>
  </si>
  <si>
    <t>财务/预算系统</t>
  </si>
  <si>
    <t>采购价格指数</t>
  </si>
  <si>
    <t>代表性采购物资均价变动趋势</t>
  </si>
  <si>
    <t>统计代表物资采购均价形成指数</t>
  </si>
  <si>
    <t>时间、物资类别</t>
  </si>
  <si>
    <t>采购单价、采购物资</t>
  </si>
  <si>
    <t>采购/ERP系统</t>
  </si>
  <si>
    <t>科研/技术/管理占比</t>
  </si>
  <si>
    <t>各类岗位人数占比</t>
  </si>
  <si>
    <t>各岗位类别人数 ÷ 员工总数 × 100%</t>
  </si>
  <si>
    <t>时间、岗位类别</t>
  </si>
  <si>
    <t>员工岗位类别、总人数</t>
  </si>
  <si>
    <t>HR系统</t>
  </si>
  <si>
    <t>核心人才流失率</t>
  </si>
  <si>
    <t>关键岗位核心人才的流失比例</t>
  </si>
  <si>
    <t>期间离职核心人数 ÷ 核心岗位总人数 × 100%</t>
  </si>
  <si>
    <t>离职信息、核心岗位人数</t>
  </si>
  <si>
    <t>关键岗位空缺天数</t>
  </si>
  <si>
    <t>关键岗位出现空缺的累计天数</t>
  </si>
  <si>
    <t>Σ（岗位空缺天数）</t>
  </si>
  <si>
    <t>岗位、部门、时间</t>
  </si>
  <si>
    <t>岗位空缺时间、岗位编号</t>
  </si>
  <si>
    <t>人均薪酬</t>
  </si>
  <si>
    <t>员工人均薪酬水平</t>
  </si>
  <si>
    <t>总薪酬 ÷ 员工人数</t>
  </si>
  <si>
    <t>工资发放明细、员工名单</t>
  </si>
  <si>
    <t>HR/财务系统</t>
  </si>
  <si>
    <t>人均科研产出</t>
  </si>
  <si>
    <t>科研岗位人均产出</t>
  </si>
  <si>
    <t>科研成果总数 ÷ 科研岗位人数</t>
  </si>
  <si>
    <t>科研成果、岗位信息</t>
  </si>
  <si>
    <t>科研/HR系统</t>
  </si>
  <si>
    <t>培训投入产出比</t>
  </si>
  <si>
    <t>培训带来的效益与成本比</t>
  </si>
  <si>
    <t>培训后产出提升额 ÷ 培训投入总额</t>
  </si>
  <si>
    <t>部门、时间</t>
  </si>
  <si>
    <t>季度/半年</t>
  </si>
  <si>
    <t>培训费用、业绩提升数据</t>
  </si>
  <si>
    <t>HR/培训系统</t>
  </si>
  <si>
    <t>供应商准时交付率</t>
  </si>
  <si>
    <t>供应商按时交货的比例</t>
  </si>
  <si>
    <t>按时交货数 ÷ 总交货数 × 100%</t>
  </si>
  <si>
    <t>时间、供应商</t>
  </si>
  <si>
    <t>交货日期、计划日期、供应商编号</t>
  </si>
  <si>
    <t>采购/供应链系统</t>
  </si>
  <si>
    <t>采购周期</t>
  </si>
  <si>
    <t>下单到收货的平均天数</t>
  </si>
  <si>
    <t>Σ（实际收货日 - 下单日）÷ 订单数</t>
  </si>
  <si>
    <t>时间、供应商、物料</t>
  </si>
  <si>
    <t>下单日期、收货日期、订单号</t>
  </si>
  <si>
    <t>价格偏差</t>
  </si>
  <si>
    <t>实际采购均价与参考价差异</t>
  </si>
  <si>
    <t>(实际采购均价 - 参考价) ÷ 参考价 × 100%</t>
  </si>
  <si>
    <t>时间、物料、供应商</t>
  </si>
  <si>
    <t>采购单价、参考价、物料编号</t>
  </si>
  <si>
    <t>供应商评分</t>
  </si>
  <si>
    <t>综合评定供应商能力得分</t>
  </si>
  <si>
    <t>客观打分（交付、价格、质量等加权）</t>
  </si>
  <si>
    <t>月/季度</t>
  </si>
  <si>
    <t>评分明细、各评分项</t>
  </si>
  <si>
    <t>供应商管理系统</t>
  </si>
  <si>
    <t>呆滞料金额</t>
  </si>
  <si>
    <t>超期未动用库存金额</t>
  </si>
  <si>
    <t>呆滞物料金额之和</t>
  </si>
  <si>
    <t>时间、物料类别</t>
  </si>
  <si>
    <t>库存数量、库存时间、单价</t>
  </si>
  <si>
    <t>仓储/ERP系统</t>
  </si>
  <si>
    <t>生产订单准时率</t>
  </si>
  <si>
    <t>按时完成生产订单占比</t>
  </si>
  <si>
    <t>按时完工订单数 ÷ 总订单数 × 100%</t>
  </si>
  <si>
    <t>时间、生产线</t>
  </si>
  <si>
    <t>日/周</t>
  </si>
  <si>
    <t>订单完成日期、计划日期、订单号</t>
  </si>
  <si>
    <t>MES/ERP系统</t>
  </si>
  <si>
    <t>一次合格率</t>
  </si>
  <si>
    <t>首检合格数量占总检验数的比例</t>
  </si>
  <si>
    <t>首检合格数量 ÷ 检验总数 × 100%</t>
  </si>
  <si>
    <t>检验批次、合格批次</t>
  </si>
  <si>
    <t>MES/质检系统</t>
  </si>
  <si>
    <t>单位制造成本</t>
  </si>
  <si>
    <t>单位产品制造的平均成本</t>
  </si>
  <si>
    <t>总制造成本 ÷ 产出数量</t>
  </si>
  <si>
    <t>制造成本、产量</t>
  </si>
  <si>
    <t>库存周转率</t>
  </si>
  <si>
    <t>一定周期内库存流转次数</t>
  </si>
  <si>
    <t>销货成本 ÷ 平均库存余额</t>
  </si>
  <si>
    <t>销货成本、库存余额</t>
  </si>
  <si>
    <t>财务/仓储系统</t>
  </si>
  <si>
    <t>OEE</t>
  </si>
  <si>
    <t>设备综合效率</t>
  </si>
  <si>
    <t>OEE=开动率×性能稼动率×合格率</t>
  </si>
  <si>
    <t>时间、设备</t>
  </si>
  <si>
    <t>设备运行、停机、产量、良品数</t>
  </si>
  <si>
    <t>MES/设备管理</t>
  </si>
  <si>
    <t>项目在研数</t>
  </si>
  <si>
    <t>当前仍在执行中的项目数量</t>
  </si>
  <si>
    <t>统计周期内未结题项目数量</t>
  </si>
  <si>
    <t>项目编号、结题状态</t>
  </si>
  <si>
    <t>项目平均执行周期</t>
  </si>
  <si>
    <t>超期项目数</t>
  </si>
  <si>
    <t>超过计划完成周期的项目数量</t>
  </si>
  <si>
    <t>超期项目数量</t>
  </si>
  <si>
    <t>项目计划周期、实际周期</t>
  </si>
  <si>
    <t>经费执行率</t>
  </si>
  <si>
    <t>项目实际经费支出占预算比例</t>
  </si>
  <si>
    <t>实际支出 ÷ 预算经费 × 100%</t>
  </si>
  <si>
    <t>项目预算、实际支出</t>
  </si>
  <si>
    <t>时间、部门、项目</t>
  </si>
  <si>
    <t>知识产权/项目系统</t>
  </si>
  <si>
    <t>时间、合同类型、项目</t>
  </si>
  <si>
    <t>项目归档文档齐备情况</t>
  </si>
  <si>
    <t>齐备归档项目数 ÷ 总结题项目数 × 100%</t>
  </si>
  <si>
    <t>项目档案清单</t>
  </si>
  <si>
    <t>结题文档及时率</t>
  </si>
  <si>
    <t>结题时限内归档文档占比</t>
  </si>
  <si>
    <t>按时归档项目数 ÷ 总结题项目数 × 100%</t>
  </si>
  <si>
    <t>归档日期、结题日期</t>
  </si>
  <si>
    <t>项目/档案系统</t>
  </si>
  <si>
    <t>资产负债率</t>
  </si>
  <si>
    <t>企业负债占资产的比例</t>
  </si>
  <si>
    <t>总负债 ÷ 总资产 × 100%</t>
  </si>
  <si>
    <t>时间</t>
  </si>
  <si>
    <t>总负债、总资产</t>
  </si>
  <si>
    <t>利润率</t>
  </si>
  <si>
    <t>反映盈利能力的指标</t>
  </si>
  <si>
    <t>净利润 ÷ 总收入 × 100%</t>
  </si>
  <si>
    <t>净利润、总收入</t>
  </si>
  <si>
    <t>运营费用率</t>
  </si>
  <si>
    <t>运营费用在总收入中的占比</t>
  </si>
  <si>
    <t>运营费用 ÷ 总收入 × 100%</t>
  </si>
  <si>
    <t>运营费用、总收入</t>
  </si>
  <si>
    <t>培训覆盖率</t>
  </si>
  <si>
    <t>接受培训员工占比</t>
  </si>
  <si>
    <t>参加培训人数 ÷ 员工总数 × 100%</t>
  </si>
  <si>
    <t>培训名单、员工名单</t>
  </si>
  <si>
    <t>新员工转正率</t>
  </si>
  <si>
    <t>试用期新员工转正比例</t>
  </si>
  <si>
    <t>转正人数 ÷ 新员工数 × 100%</t>
  </si>
  <si>
    <t>新员工数、转正人数</t>
  </si>
  <si>
    <t>绩效优秀率</t>
  </si>
  <si>
    <t>绩效考核为优秀的员工比例</t>
  </si>
  <si>
    <t>优秀员工数 ÷ 总员工数 × 100%</t>
  </si>
  <si>
    <t>绩效考核数据</t>
  </si>
  <si>
    <t>人力成本占比</t>
  </si>
  <si>
    <t>人力成本在总成本中的占比</t>
  </si>
  <si>
    <t>人力成本总额 ÷ 总成本 × 100%</t>
  </si>
  <si>
    <t>人力成本、总成本</t>
  </si>
  <si>
    <t xml:space="preserve"> </t>
  </si>
  <si>
    <t>原材料到货合格率</t>
  </si>
  <si>
    <t>原材料进厂检验合格占比</t>
  </si>
  <si>
    <t>合格批次数 ÷ 到货批次数 × 100%</t>
  </si>
  <si>
    <t>时间、物料</t>
  </si>
  <si>
    <t>到货批次、合格批次</t>
  </si>
  <si>
    <t>质检/仓储系统</t>
  </si>
  <si>
    <t>平均生产周期</t>
  </si>
  <si>
    <t>单位产品从投料到完工的平均用时</t>
  </si>
  <si>
    <t>Σ（完工日-投料日） ÷ 生产批次</t>
  </si>
  <si>
    <t>投料日期、完工日期</t>
  </si>
  <si>
    <t>MES系统</t>
  </si>
  <si>
    <t>在制品库存量</t>
  </si>
  <si>
    <t>生产过程中尚未完工的在制品库存数量</t>
  </si>
  <si>
    <t>期末在制品数量</t>
  </si>
  <si>
    <t>产品、时间</t>
  </si>
  <si>
    <t>日/周/月</t>
  </si>
  <si>
    <t>在制品盘点</t>
  </si>
  <si>
    <t>生产/仓储系统</t>
  </si>
  <si>
    <t>设备故障率</t>
  </si>
  <si>
    <t>设备在生产期间的故障频率</t>
  </si>
  <si>
    <t>故障次数 ÷ 设备数</t>
  </si>
  <si>
    <t>设备、时间</t>
  </si>
  <si>
    <t>故障记录、设备台账</t>
  </si>
  <si>
    <t>设备管理系统</t>
  </si>
  <si>
    <t>能源消耗强度</t>
  </si>
  <si>
    <t>单位产出对应的能耗</t>
  </si>
  <si>
    <t>总能耗 ÷ 总产出</t>
  </si>
  <si>
    <t>能源消耗、产量</t>
  </si>
  <si>
    <t>能源/生产系统</t>
  </si>
  <si>
    <t>物料缺货率</t>
  </si>
  <si>
    <t>需求未满足的物料数量占比</t>
  </si>
  <si>
    <t>缺货数量、需求总数</t>
  </si>
  <si>
    <t>仓储/采购系统</t>
  </si>
  <si>
    <t>采购及时率</t>
  </si>
  <si>
    <t>采购需求及时下单比例</t>
  </si>
  <si>
    <t>时间、采购员、类别</t>
  </si>
  <si>
    <t>采购需求、下单时间</t>
  </si>
  <si>
    <t>采购系统</t>
  </si>
  <si>
    <t>主要物料集中度</t>
  </si>
  <si>
    <t>主材采购来自前N家供应商的占比</t>
  </si>
  <si>
    <t>前N家供应商采购金额 ÷ 总采购金额 × 100%</t>
  </si>
  <si>
    <t>供应商采购金额</t>
  </si>
  <si>
    <t>供应风险指数</t>
  </si>
  <si>
    <t>供应链中断风险的综合评价</t>
  </si>
  <si>
    <t>多指标综合评分（交付、集中度、替代性等）</t>
  </si>
  <si>
    <t>供应商、类别</t>
  </si>
  <si>
    <t>多维度评分项</t>
  </si>
  <si>
    <t>供应链管理系统</t>
  </si>
  <si>
    <t>合同履约率</t>
  </si>
  <si>
    <t>供应商履约合同的比例</t>
  </si>
  <si>
    <t>履约合同数 ÷ 总合同数 × 100%</t>
  </si>
  <si>
    <t>合同履约情况</t>
  </si>
  <si>
    <t>采购/合同管理系统</t>
  </si>
  <si>
    <t>项目管理系统</t>
    <phoneticPr fontId="1" type="noConversion"/>
  </si>
  <si>
    <t>时间、设备</t>
    <phoneticPr fontId="1" type="noConversion"/>
  </si>
  <si>
    <t>缺货数量 ÷ 需求总数 × 100%</t>
    <phoneticPr fontId="4" type="noConversion"/>
  </si>
  <si>
    <t>及时下单数 ÷ 采购需求数 × 100%</t>
    <phoneticPr fontId="4" type="noConversion"/>
  </si>
  <si>
    <t>(实际采购均价 - 参考价) ÷ 参考价 × 100%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</si>
</sst>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2"/>
      <color theme="1"/>
      <name val="华文楷体"/>
      <family val="3"/>
      <charset val="134"/>
    </font>
    <font>
      <sz val="11"/>
      <color theme="1"/>
      <name val="华文楷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3/relationships/customStorage" Target="customStorage/customStorage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D27" sqref="D27"/>
    </sheetView>
  </sheetViews>
  <sheetFormatPr defaultColWidth="8.875" defaultRowHeight="16.5" x14ac:dyDescent="0.2"/>
  <cols>
    <col min="1" max="1" width="8.875" style="5"/>
    <col min="2" max="2" width="21" style="2" customWidth="1"/>
    <col min="3" max="3" width="31.5" style="2" customWidth="1"/>
    <col min="4" max="4" width="34.5" style="2" customWidth="1"/>
    <col min="5" max="5" width="18.375" style="2" customWidth="1"/>
    <col min="6" max="7" width="19.75" style="2" customWidth="1"/>
    <col min="8" max="8" width="23" style="2" customWidth="1"/>
    <col min="9" max="16384" width="8.875" style="2"/>
  </cols>
  <sheetData>
    <row r="1" spans="1:8" ht="23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customHeight="1" x14ac:dyDescent="0.2">
      <c r="A2" s="4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42" customHeight="1" x14ac:dyDescent="0.2">
      <c r="A3" s="4">
        <f t="shared" ref="A3:A32" si="0">A2+1</f>
        <v>2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18</v>
      </c>
      <c r="H3" s="3" t="s">
        <v>282</v>
      </c>
    </row>
    <row r="4" spans="1:8" ht="42" customHeight="1" x14ac:dyDescent="0.2">
      <c r="A4" s="4">
        <f t="shared" si="0"/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12</v>
      </c>
      <c r="G4" s="3" t="s">
        <v>23</v>
      </c>
      <c r="H4" s="3" t="s">
        <v>14</v>
      </c>
    </row>
    <row r="5" spans="1:8" ht="42" customHeight="1" x14ac:dyDescent="0.2">
      <c r="A5" s="4">
        <f t="shared" si="0"/>
        <v>4</v>
      </c>
      <c r="B5" s="3" t="s">
        <v>24</v>
      </c>
      <c r="C5" s="3" t="s">
        <v>25</v>
      </c>
      <c r="D5" s="3" t="s">
        <v>26</v>
      </c>
      <c r="E5" s="3" t="s">
        <v>11</v>
      </c>
      <c r="F5" s="3" t="s">
        <v>12</v>
      </c>
      <c r="G5" s="3" t="s">
        <v>27</v>
      </c>
      <c r="H5" s="3" t="s">
        <v>14</v>
      </c>
    </row>
    <row r="6" spans="1:8" ht="42" customHeight="1" x14ac:dyDescent="0.2">
      <c r="A6" s="4">
        <f t="shared" si="0"/>
        <v>5</v>
      </c>
      <c r="B6" s="3" t="s">
        <v>28</v>
      </c>
      <c r="C6" s="3" t="s">
        <v>29</v>
      </c>
      <c r="D6" s="3" t="s">
        <v>30</v>
      </c>
      <c r="E6" s="3" t="s">
        <v>11</v>
      </c>
      <c r="F6" s="3" t="s">
        <v>12</v>
      </c>
      <c r="G6" s="3" t="s">
        <v>31</v>
      </c>
      <c r="H6" s="3" t="s">
        <v>32</v>
      </c>
    </row>
    <row r="7" spans="1:8" ht="42" customHeight="1" x14ac:dyDescent="0.2">
      <c r="A7" s="4">
        <f t="shared" si="0"/>
        <v>6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12</v>
      </c>
      <c r="G7" s="3" t="s">
        <v>37</v>
      </c>
      <c r="H7" s="3" t="s">
        <v>38</v>
      </c>
    </row>
    <row r="8" spans="1:8" ht="42" customHeight="1" x14ac:dyDescent="0.2">
      <c r="A8" s="4">
        <f t="shared" si="0"/>
        <v>7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12</v>
      </c>
      <c r="G8" s="3" t="s">
        <v>43</v>
      </c>
      <c r="H8" s="3" t="s">
        <v>44</v>
      </c>
    </row>
    <row r="9" spans="1:8" ht="42" customHeight="1" x14ac:dyDescent="0.2">
      <c r="A9" s="4">
        <f t="shared" si="0"/>
        <v>8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12</v>
      </c>
      <c r="G9" s="3" t="s">
        <v>49</v>
      </c>
      <c r="H9" s="3" t="s">
        <v>50</v>
      </c>
    </row>
    <row r="10" spans="1:8" ht="42" customHeight="1" x14ac:dyDescent="0.2">
      <c r="A10" s="4">
        <f t="shared" si="0"/>
        <v>9</v>
      </c>
      <c r="B10" s="3" t="s">
        <v>51</v>
      </c>
      <c r="C10" s="3" t="s">
        <v>52</v>
      </c>
      <c r="D10" s="3" t="s">
        <v>53</v>
      </c>
      <c r="E10" s="3" t="s">
        <v>42</v>
      </c>
      <c r="F10" s="3" t="s">
        <v>12</v>
      </c>
      <c r="G10" s="3" t="s">
        <v>54</v>
      </c>
      <c r="H10" s="3" t="s">
        <v>55</v>
      </c>
    </row>
    <row r="11" spans="1:8" ht="42" customHeight="1" x14ac:dyDescent="0.2">
      <c r="A11" s="4">
        <f t="shared" si="0"/>
        <v>10</v>
      </c>
      <c r="B11" s="3" t="s">
        <v>56</v>
      </c>
      <c r="C11" s="3" t="s">
        <v>57</v>
      </c>
      <c r="D11" s="3" t="s">
        <v>58</v>
      </c>
      <c r="E11" s="3" t="s">
        <v>42</v>
      </c>
      <c r="F11" s="3" t="s">
        <v>12</v>
      </c>
      <c r="G11" s="3" t="s">
        <v>59</v>
      </c>
      <c r="H11" s="3" t="s">
        <v>55</v>
      </c>
    </row>
    <row r="12" spans="1:8" ht="42" customHeight="1" x14ac:dyDescent="0.2">
      <c r="A12" s="4">
        <f t="shared" si="0"/>
        <v>11</v>
      </c>
      <c r="B12" s="3" t="s">
        <v>60</v>
      </c>
      <c r="C12" s="3" t="s">
        <v>61</v>
      </c>
      <c r="D12" s="3" t="s">
        <v>62</v>
      </c>
      <c r="E12" s="3" t="s">
        <v>42</v>
      </c>
      <c r="F12" s="3" t="s">
        <v>12</v>
      </c>
      <c r="G12" s="3" t="s">
        <v>63</v>
      </c>
      <c r="H12" s="3" t="s">
        <v>55</v>
      </c>
    </row>
    <row r="13" spans="1:8" ht="42" customHeight="1" x14ac:dyDescent="0.2">
      <c r="A13" s="4">
        <f t="shared" si="0"/>
        <v>12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12</v>
      </c>
      <c r="G13" s="3" t="s">
        <v>68</v>
      </c>
      <c r="H13" s="3" t="s">
        <v>69</v>
      </c>
    </row>
    <row r="14" spans="1:8" ht="42" customHeight="1" x14ac:dyDescent="0.2">
      <c r="A14" s="4">
        <f t="shared" si="0"/>
        <v>13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74</v>
      </c>
      <c r="G14" s="3" t="s">
        <v>75</v>
      </c>
      <c r="H14" s="3" t="s">
        <v>76</v>
      </c>
    </row>
    <row r="15" spans="1:8" ht="42" customHeight="1" x14ac:dyDescent="0.2">
      <c r="A15" s="4">
        <f t="shared" si="0"/>
        <v>14</v>
      </c>
      <c r="B15" s="3" t="s">
        <v>77</v>
      </c>
      <c r="C15" s="3" t="s">
        <v>78</v>
      </c>
      <c r="D15" s="3" t="s">
        <v>79</v>
      </c>
      <c r="E15" s="3" t="s">
        <v>42</v>
      </c>
      <c r="F15" s="3" t="s">
        <v>12</v>
      </c>
      <c r="G15" s="3" t="s">
        <v>80</v>
      </c>
      <c r="H15" s="3" t="s">
        <v>81</v>
      </c>
    </row>
    <row r="16" spans="1:8" ht="42" customHeight="1" x14ac:dyDescent="0.2">
      <c r="A16" s="4">
        <f t="shared" si="0"/>
        <v>15</v>
      </c>
      <c r="B16" s="3" t="s">
        <v>82</v>
      </c>
      <c r="C16" s="3" t="s">
        <v>83</v>
      </c>
      <c r="D16" s="3" t="s">
        <v>84</v>
      </c>
      <c r="E16" s="3" t="s">
        <v>85</v>
      </c>
      <c r="F16" s="3" t="s">
        <v>12</v>
      </c>
      <c r="G16" s="3" t="s">
        <v>86</v>
      </c>
      <c r="H16" s="3" t="s">
        <v>87</v>
      </c>
    </row>
    <row r="17" spans="1:8" ht="42" customHeight="1" x14ac:dyDescent="0.2">
      <c r="A17" s="4">
        <f t="shared" si="0"/>
        <v>16</v>
      </c>
      <c r="B17" s="3" t="s">
        <v>88</v>
      </c>
      <c r="C17" s="3" t="s">
        <v>89</v>
      </c>
      <c r="D17" s="3" t="s">
        <v>90</v>
      </c>
      <c r="E17" s="3" t="s">
        <v>91</v>
      </c>
      <c r="F17" s="3" t="s">
        <v>12</v>
      </c>
      <c r="G17" s="3" t="s">
        <v>92</v>
      </c>
      <c r="H17" s="3" t="s">
        <v>93</v>
      </c>
    </row>
    <row r="18" spans="1:8" ht="42" customHeight="1" x14ac:dyDescent="0.2">
      <c r="A18" s="4">
        <f t="shared" si="0"/>
        <v>17</v>
      </c>
      <c r="B18" s="3" t="s">
        <v>94</v>
      </c>
      <c r="C18" s="3" t="s">
        <v>95</v>
      </c>
      <c r="D18" s="3" t="s">
        <v>96</v>
      </c>
      <c r="E18" s="3" t="s">
        <v>42</v>
      </c>
      <c r="F18" s="3" t="s">
        <v>12</v>
      </c>
      <c r="G18" s="3" t="s">
        <v>97</v>
      </c>
      <c r="H18" s="3" t="s">
        <v>93</v>
      </c>
    </row>
    <row r="19" spans="1:8" ht="42" customHeight="1" x14ac:dyDescent="0.2">
      <c r="A19" s="4">
        <f t="shared" si="0"/>
        <v>18</v>
      </c>
      <c r="B19" s="3" t="s">
        <v>98</v>
      </c>
      <c r="C19" s="3" t="s">
        <v>99</v>
      </c>
      <c r="D19" s="3" t="s">
        <v>100</v>
      </c>
      <c r="E19" s="3" t="s">
        <v>101</v>
      </c>
      <c r="F19" s="3" t="s">
        <v>12</v>
      </c>
      <c r="G19" s="3" t="s">
        <v>102</v>
      </c>
      <c r="H19" s="3" t="s">
        <v>93</v>
      </c>
    </row>
    <row r="20" spans="1:8" ht="42" customHeight="1" x14ac:dyDescent="0.2">
      <c r="A20" s="4">
        <f t="shared" si="0"/>
        <v>19</v>
      </c>
      <c r="B20" s="3" t="s">
        <v>103</v>
      </c>
      <c r="C20" s="3" t="s">
        <v>104</v>
      </c>
      <c r="D20" s="3" t="s">
        <v>105</v>
      </c>
      <c r="E20" s="3" t="s">
        <v>42</v>
      </c>
      <c r="F20" s="3" t="s">
        <v>12</v>
      </c>
      <c r="G20" s="3" t="s">
        <v>106</v>
      </c>
      <c r="H20" s="3" t="s">
        <v>107</v>
      </c>
    </row>
    <row r="21" spans="1:8" ht="42" customHeight="1" x14ac:dyDescent="0.2">
      <c r="A21" s="4">
        <f t="shared" si="0"/>
        <v>20</v>
      </c>
      <c r="B21" s="3" t="s">
        <v>108</v>
      </c>
      <c r="C21" s="3" t="s">
        <v>109</v>
      </c>
      <c r="D21" s="3" t="s">
        <v>110</v>
      </c>
      <c r="E21" s="3" t="s">
        <v>42</v>
      </c>
      <c r="F21" s="3" t="s">
        <v>12</v>
      </c>
      <c r="G21" s="3" t="s">
        <v>111</v>
      </c>
      <c r="H21" s="3" t="s">
        <v>112</v>
      </c>
    </row>
    <row r="22" spans="1:8" ht="42" customHeight="1" x14ac:dyDescent="0.2">
      <c r="A22" s="4">
        <f t="shared" si="0"/>
        <v>21</v>
      </c>
      <c r="B22" s="3" t="s">
        <v>113</v>
      </c>
      <c r="C22" s="3" t="s">
        <v>114</v>
      </c>
      <c r="D22" s="3" t="s">
        <v>115</v>
      </c>
      <c r="E22" s="3" t="s">
        <v>116</v>
      </c>
      <c r="F22" s="3" t="s">
        <v>117</v>
      </c>
      <c r="G22" s="3" t="s">
        <v>118</v>
      </c>
      <c r="H22" s="3" t="s">
        <v>119</v>
      </c>
    </row>
    <row r="23" spans="1:8" ht="42" customHeight="1" x14ac:dyDescent="0.2">
      <c r="A23" s="4">
        <f t="shared" si="0"/>
        <v>22</v>
      </c>
      <c r="B23" s="3" t="s">
        <v>120</v>
      </c>
      <c r="C23" s="3" t="s">
        <v>121</v>
      </c>
      <c r="D23" s="3" t="s">
        <v>122</v>
      </c>
      <c r="E23" s="3" t="s">
        <v>123</v>
      </c>
      <c r="F23" s="3" t="s">
        <v>12</v>
      </c>
      <c r="G23" s="3" t="s">
        <v>124</v>
      </c>
      <c r="H23" s="3" t="s">
        <v>125</v>
      </c>
    </row>
    <row r="24" spans="1:8" ht="42" customHeight="1" x14ac:dyDescent="0.2">
      <c r="A24" s="4">
        <f t="shared" si="0"/>
        <v>23</v>
      </c>
      <c r="B24" s="3" t="s">
        <v>126</v>
      </c>
      <c r="C24" s="3" t="s">
        <v>127</v>
      </c>
      <c r="D24" s="3" t="s">
        <v>128</v>
      </c>
      <c r="E24" s="3" t="s">
        <v>129</v>
      </c>
      <c r="F24" s="3" t="s">
        <v>12</v>
      </c>
      <c r="G24" s="3" t="s">
        <v>130</v>
      </c>
      <c r="H24" s="3" t="s">
        <v>87</v>
      </c>
    </row>
    <row r="25" spans="1:8" ht="42" customHeight="1" x14ac:dyDescent="0.2">
      <c r="A25" s="4">
        <f t="shared" si="0"/>
        <v>24</v>
      </c>
      <c r="B25" s="3" t="s">
        <v>131</v>
      </c>
      <c r="C25" s="3" t="s">
        <v>132</v>
      </c>
      <c r="D25" s="3" t="s">
        <v>286</v>
      </c>
      <c r="E25" s="3" t="s">
        <v>134</v>
      </c>
      <c r="F25" s="3" t="s">
        <v>12</v>
      </c>
      <c r="G25" s="3" t="s">
        <v>135</v>
      </c>
      <c r="H25" s="3" t="s">
        <v>87</v>
      </c>
    </row>
    <row r="26" spans="1:8" ht="42" customHeight="1" x14ac:dyDescent="0.2">
      <c r="A26" s="4">
        <f t="shared" si="0"/>
        <v>25</v>
      </c>
      <c r="B26" s="3" t="s">
        <v>136</v>
      </c>
      <c r="C26" s="3" t="s">
        <v>137</v>
      </c>
      <c r="D26" s="3" t="s">
        <v>138</v>
      </c>
      <c r="E26" s="3" t="s">
        <v>123</v>
      </c>
      <c r="F26" s="3" t="s">
        <v>139</v>
      </c>
      <c r="G26" s="3" t="s">
        <v>140</v>
      </c>
      <c r="H26" s="3" t="s">
        <v>141</v>
      </c>
    </row>
    <row r="27" spans="1:8" ht="42" customHeight="1" x14ac:dyDescent="0.2">
      <c r="A27" s="4">
        <f t="shared" si="0"/>
        <v>26</v>
      </c>
      <c r="B27" s="3" t="s">
        <v>142</v>
      </c>
      <c r="C27" s="3" t="s">
        <v>143</v>
      </c>
      <c r="D27" s="3" t="s">
        <v>144</v>
      </c>
      <c r="E27" s="3" t="s">
        <v>145</v>
      </c>
      <c r="F27" s="3" t="s">
        <v>12</v>
      </c>
      <c r="G27" s="3" t="s">
        <v>146</v>
      </c>
      <c r="H27" s="3" t="s">
        <v>147</v>
      </c>
    </row>
    <row r="28" spans="1:8" ht="42" customHeight="1" x14ac:dyDescent="0.2">
      <c r="A28" s="4">
        <f t="shared" si="0"/>
        <v>27</v>
      </c>
      <c r="B28" s="3" t="s">
        <v>148</v>
      </c>
      <c r="C28" s="3" t="s">
        <v>149</v>
      </c>
      <c r="D28" s="3" t="s">
        <v>150</v>
      </c>
      <c r="E28" s="3" t="s">
        <v>151</v>
      </c>
      <c r="F28" s="3" t="s">
        <v>152</v>
      </c>
      <c r="G28" s="3" t="s">
        <v>153</v>
      </c>
      <c r="H28" s="3" t="s">
        <v>154</v>
      </c>
    </row>
    <row r="29" spans="1:8" ht="42" customHeight="1" x14ac:dyDescent="0.2">
      <c r="A29" s="4">
        <f t="shared" si="0"/>
        <v>28</v>
      </c>
      <c r="B29" s="3" t="s">
        <v>155</v>
      </c>
      <c r="C29" s="3" t="s">
        <v>156</v>
      </c>
      <c r="D29" s="3" t="s">
        <v>157</v>
      </c>
      <c r="E29" s="3" t="s">
        <v>151</v>
      </c>
      <c r="F29" s="3" t="s">
        <v>152</v>
      </c>
      <c r="G29" s="3" t="s">
        <v>158</v>
      </c>
      <c r="H29" s="3" t="s">
        <v>159</v>
      </c>
    </row>
    <row r="30" spans="1:8" ht="42" customHeight="1" x14ac:dyDescent="0.2">
      <c r="A30" s="4">
        <f t="shared" si="0"/>
        <v>29</v>
      </c>
      <c r="B30" s="3" t="s">
        <v>160</v>
      </c>
      <c r="C30" s="3" t="s">
        <v>161</v>
      </c>
      <c r="D30" s="3" t="s">
        <v>162</v>
      </c>
      <c r="E30" s="3" t="s">
        <v>67</v>
      </c>
      <c r="F30" s="3" t="s">
        <v>12</v>
      </c>
      <c r="G30" s="3" t="s">
        <v>163</v>
      </c>
      <c r="H30" s="3" t="s">
        <v>69</v>
      </c>
    </row>
    <row r="31" spans="1:8" ht="42" customHeight="1" x14ac:dyDescent="0.2">
      <c r="A31" s="4">
        <f t="shared" si="0"/>
        <v>30</v>
      </c>
      <c r="B31" s="3" t="s">
        <v>164</v>
      </c>
      <c r="C31" s="3" t="s">
        <v>165</v>
      </c>
      <c r="D31" s="3" t="s">
        <v>166</v>
      </c>
      <c r="E31" s="3" t="s">
        <v>67</v>
      </c>
      <c r="F31" s="3" t="s">
        <v>12</v>
      </c>
      <c r="G31" s="3" t="s">
        <v>167</v>
      </c>
      <c r="H31" s="3" t="s">
        <v>168</v>
      </c>
    </row>
    <row r="32" spans="1:8" ht="42" customHeight="1" x14ac:dyDescent="0.2">
      <c r="A32" s="4">
        <f t="shared" si="0"/>
        <v>31</v>
      </c>
      <c r="B32" s="3" t="s">
        <v>169</v>
      </c>
      <c r="C32" s="3" t="s">
        <v>170</v>
      </c>
      <c r="D32" s="3" t="s">
        <v>171</v>
      </c>
      <c r="E32" s="3" t="s">
        <v>283</v>
      </c>
      <c r="F32" s="3" t="s">
        <v>152</v>
      </c>
      <c r="G32" s="3" t="s">
        <v>173</v>
      </c>
      <c r="H32" s="3" t="s">
        <v>174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5" sqref="C5"/>
    </sheetView>
  </sheetViews>
  <sheetFormatPr defaultColWidth="8.875" defaultRowHeight="16.5" x14ac:dyDescent="0.2"/>
  <cols>
    <col min="1" max="1" width="8.875" style="5"/>
    <col min="2" max="2" width="21" style="2" customWidth="1"/>
    <col min="3" max="3" width="35.875" style="2" customWidth="1"/>
    <col min="4" max="4" width="34.5" style="2" customWidth="1"/>
    <col min="5" max="5" width="18.375" style="2" customWidth="1"/>
    <col min="6" max="7" width="19.75" style="2" customWidth="1"/>
    <col min="8" max="8" width="25.375" style="2" customWidth="1"/>
    <col min="9" max="16384" width="8.875" style="2"/>
  </cols>
  <sheetData>
    <row r="1" spans="1:8" ht="23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customHeight="1" x14ac:dyDescent="0.2">
      <c r="A2" s="4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42" customHeight="1" x14ac:dyDescent="0.2">
      <c r="A3" s="4">
        <f t="shared" ref="A3:A14" si="0">A2+1</f>
        <v>2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18</v>
      </c>
      <c r="H3" s="3" t="s">
        <v>14</v>
      </c>
    </row>
    <row r="4" spans="1:8" ht="42" customHeight="1" x14ac:dyDescent="0.2">
      <c r="A4" s="4">
        <f t="shared" si="0"/>
        <v>3</v>
      </c>
      <c r="B4" s="3" t="s">
        <v>175</v>
      </c>
      <c r="C4" s="3" t="s">
        <v>176</v>
      </c>
      <c r="D4" s="3" t="s">
        <v>177</v>
      </c>
      <c r="E4" s="3" t="s">
        <v>11</v>
      </c>
      <c r="F4" s="3" t="s">
        <v>12</v>
      </c>
      <c r="G4" s="3" t="s">
        <v>178</v>
      </c>
      <c r="H4" s="3" t="s">
        <v>14</v>
      </c>
    </row>
    <row r="5" spans="1:8" ht="42" customHeight="1" x14ac:dyDescent="0.2">
      <c r="A5" s="4">
        <f t="shared" si="0"/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12</v>
      </c>
      <c r="G5" s="3" t="s">
        <v>23</v>
      </c>
      <c r="H5" s="3" t="s">
        <v>14</v>
      </c>
    </row>
    <row r="6" spans="1:8" ht="42" customHeight="1" x14ac:dyDescent="0.2">
      <c r="A6" s="4">
        <f t="shared" si="0"/>
        <v>5</v>
      </c>
      <c r="B6" s="3" t="s">
        <v>179</v>
      </c>
      <c r="C6" s="3" t="s">
        <v>25</v>
      </c>
      <c r="D6" s="3" t="s">
        <v>26</v>
      </c>
      <c r="E6" s="3" t="s">
        <v>11</v>
      </c>
      <c r="F6" s="3" t="s">
        <v>12</v>
      </c>
      <c r="G6" s="3" t="s">
        <v>27</v>
      </c>
      <c r="H6" s="3" t="s">
        <v>14</v>
      </c>
    </row>
    <row r="7" spans="1:8" ht="42" customHeight="1" x14ac:dyDescent="0.2">
      <c r="A7" s="4">
        <f t="shared" si="0"/>
        <v>6</v>
      </c>
      <c r="B7" s="3" t="s">
        <v>180</v>
      </c>
      <c r="C7" s="3" t="s">
        <v>181</v>
      </c>
      <c r="D7" s="3" t="s">
        <v>182</v>
      </c>
      <c r="E7" s="3" t="s">
        <v>11</v>
      </c>
      <c r="F7" s="3" t="s">
        <v>12</v>
      </c>
      <c r="G7" s="3" t="s">
        <v>183</v>
      </c>
      <c r="H7" s="3" t="s">
        <v>14</v>
      </c>
    </row>
    <row r="8" spans="1:8" ht="42" customHeight="1" x14ac:dyDescent="0.2">
      <c r="A8" s="4">
        <f t="shared" si="0"/>
        <v>7</v>
      </c>
      <c r="B8" s="3" t="s">
        <v>28</v>
      </c>
      <c r="C8" s="3" t="s">
        <v>29</v>
      </c>
      <c r="D8" s="3" t="s">
        <v>30</v>
      </c>
      <c r="E8" s="3" t="s">
        <v>11</v>
      </c>
      <c r="F8" s="3" t="s">
        <v>12</v>
      </c>
      <c r="G8" s="3" t="s">
        <v>31</v>
      </c>
      <c r="H8" s="3" t="s">
        <v>32</v>
      </c>
    </row>
    <row r="9" spans="1:8" ht="42" customHeight="1" x14ac:dyDescent="0.2">
      <c r="A9" s="4">
        <f t="shared" si="0"/>
        <v>8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12</v>
      </c>
      <c r="G9" s="3" t="s">
        <v>37</v>
      </c>
      <c r="H9" s="3" t="s">
        <v>38</v>
      </c>
    </row>
    <row r="10" spans="1:8" ht="42" customHeight="1" x14ac:dyDescent="0.2">
      <c r="A10" s="4">
        <f t="shared" si="0"/>
        <v>9</v>
      </c>
      <c r="B10" s="3" t="s">
        <v>184</v>
      </c>
      <c r="C10" s="3" t="s">
        <v>185</v>
      </c>
      <c r="D10" s="3" t="s">
        <v>186</v>
      </c>
      <c r="E10" s="3" t="s">
        <v>22</v>
      </c>
      <c r="F10" s="3" t="s">
        <v>12</v>
      </c>
      <c r="G10" s="3" t="s">
        <v>187</v>
      </c>
      <c r="H10" s="3" t="s">
        <v>38</v>
      </c>
    </row>
    <row r="11" spans="1:8" ht="42" customHeight="1" x14ac:dyDescent="0.2">
      <c r="A11" s="4">
        <f t="shared" si="0"/>
        <v>10</v>
      </c>
      <c r="B11" s="3" t="s">
        <v>39</v>
      </c>
      <c r="C11" s="3" t="s">
        <v>40</v>
      </c>
      <c r="D11" s="3" t="s">
        <v>41</v>
      </c>
      <c r="E11" s="3" t="s">
        <v>188</v>
      </c>
      <c r="F11" s="3" t="s">
        <v>12</v>
      </c>
      <c r="G11" s="3" t="s">
        <v>43</v>
      </c>
      <c r="H11" s="3" t="s">
        <v>189</v>
      </c>
    </row>
    <row r="12" spans="1:8" ht="42" customHeight="1" x14ac:dyDescent="0.2">
      <c r="A12" s="4">
        <f t="shared" si="0"/>
        <v>11</v>
      </c>
      <c r="B12" s="3" t="s">
        <v>45</v>
      </c>
      <c r="C12" s="3" t="s">
        <v>46</v>
      </c>
      <c r="D12" s="3" t="s">
        <v>47</v>
      </c>
      <c r="E12" s="3" t="s">
        <v>190</v>
      </c>
      <c r="F12" s="3" t="s">
        <v>12</v>
      </c>
      <c r="G12" s="3" t="s">
        <v>49</v>
      </c>
      <c r="H12" s="3" t="s">
        <v>50</v>
      </c>
    </row>
    <row r="13" spans="1:8" ht="42" customHeight="1" x14ac:dyDescent="0.2">
      <c r="A13" s="4">
        <f t="shared" si="0"/>
        <v>12</v>
      </c>
      <c r="B13" s="3" t="s">
        <v>28</v>
      </c>
      <c r="C13" s="3" t="s">
        <v>191</v>
      </c>
      <c r="D13" s="3" t="s">
        <v>192</v>
      </c>
      <c r="E13" s="3" t="s">
        <v>11</v>
      </c>
      <c r="F13" s="3" t="s">
        <v>12</v>
      </c>
      <c r="G13" s="3" t="s">
        <v>193</v>
      </c>
      <c r="H13" s="3" t="s">
        <v>32</v>
      </c>
    </row>
    <row r="14" spans="1:8" ht="42" customHeight="1" x14ac:dyDescent="0.2">
      <c r="A14" s="4">
        <f t="shared" si="0"/>
        <v>13</v>
      </c>
      <c r="B14" s="3" t="s">
        <v>194</v>
      </c>
      <c r="C14" s="3" t="s">
        <v>195</v>
      </c>
      <c r="D14" s="3" t="s">
        <v>196</v>
      </c>
      <c r="E14" s="3" t="s">
        <v>11</v>
      </c>
      <c r="F14" s="3" t="s">
        <v>12</v>
      </c>
      <c r="G14" s="3" t="s">
        <v>197</v>
      </c>
      <c r="H14" s="3" t="s">
        <v>198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5" sqref="C5"/>
    </sheetView>
  </sheetViews>
  <sheetFormatPr defaultColWidth="8.875" defaultRowHeight="16.5" x14ac:dyDescent="0.2"/>
  <cols>
    <col min="1" max="1" width="8.875" style="5"/>
    <col min="2" max="2" width="21" style="2" customWidth="1"/>
    <col min="3" max="3" width="38.875" style="2" customWidth="1"/>
    <col min="4" max="4" width="34.5" style="2" customWidth="1"/>
    <col min="5" max="5" width="18.375" style="2" customWidth="1"/>
    <col min="6" max="7" width="19.75" style="2" customWidth="1"/>
    <col min="8" max="8" width="23" style="2" customWidth="1"/>
    <col min="9" max="16384" width="8.875" style="2"/>
  </cols>
  <sheetData>
    <row r="1" spans="1:8" ht="23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.950000000000003" customHeight="1" x14ac:dyDescent="0.2">
      <c r="A2" s="4">
        <v>1</v>
      </c>
      <c r="B2" s="3" t="s">
        <v>51</v>
      </c>
      <c r="C2" s="3" t="s">
        <v>52</v>
      </c>
      <c r="D2" s="3" t="s">
        <v>53</v>
      </c>
      <c r="E2" s="3" t="s">
        <v>42</v>
      </c>
      <c r="F2" s="3" t="s">
        <v>12</v>
      </c>
      <c r="G2" s="3" t="s">
        <v>54</v>
      </c>
      <c r="H2" s="3" t="s">
        <v>55</v>
      </c>
    </row>
    <row r="3" spans="1:8" ht="39.950000000000003" customHeight="1" x14ac:dyDescent="0.2">
      <c r="A3" s="4">
        <f t="shared" ref="A3:A11" si="0">A2+1</f>
        <v>2</v>
      </c>
      <c r="B3" s="3" t="s">
        <v>56</v>
      </c>
      <c r="C3" s="3" t="s">
        <v>57</v>
      </c>
      <c r="D3" s="3" t="s">
        <v>58</v>
      </c>
      <c r="E3" s="3" t="s">
        <v>42</v>
      </c>
      <c r="F3" s="3" t="s">
        <v>12</v>
      </c>
      <c r="G3" s="3" t="s">
        <v>59</v>
      </c>
      <c r="H3" s="3" t="s">
        <v>55</v>
      </c>
    </row>
    <row r="4" spans="1:8" ht="39.950000000000003" customHeight="1" x14ac:dyDescent="0.2">
      <c r="A4" s="4">
        <f t="shared" si="0"/>
        <v>3</v>
      </c>
      <c r="B4" s="3" t="s">
        <v>60</v>
      </c>
      <c r="C4" s="3" t="s">
        <v>61</v>
      </c>
      <c r="D4" s="3" t="s">
        <v>62</v>
      </c>
      <c r="E4" s="3" t="s">
        <v>42</v>
      </c>
      <c r="F4" s="3" t="s">
        <v>12</v>
      </c>
      <c r="G4" s="3" t="s">
        <v>63</v>
      </c>
      <c r="H4" s="3" t="s">
        <v>55</v>
      </c>
    </row>
    <row r="5" spans="1:8" ht="39.950000000000003" customHeight="1" x14ac:dyDescent="0.2">
      <c r="A5" s="4">
        <f t="shared" si="0"/>
        <v>4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12</v>
      </c>
      <c r="G5" s="3" t="s">
        <v>68</v>
      </c>
      <c r="H5" s="3" t="s">
        <v>69</v>
      </c>
    </row>
    <row r="6" spans="1:8" ht="39.950000000000003" customHeight="1" x14ac:dyDescent="0.2">
      <c r="A6" s="4">
        <f t="shared" si="0"/>
        <v>5</v>
      </c>
      <c r="B6" s="3" t="s">
        <v>70</v>
      </c>
      <c r="C6" s="3" t="s">
        <v>71</v>
      </c>
      <c r="D6" s="3" t="s">
        <v>72</v>
      </c>
      <c r="E6" s="3" t="s">
        <v>73</v>
      </c>
      <c r="F6" s="3" t="s">
        <v>74</v>
      </c>
      <c r="G6" s="3" t="s">
        <v>75</v>
      </c>
      <c r="H6" s="3" t="s">
        <v>76</v>
      </c>
    </row>
    <row r="7" spans="1:8" ht="39.950000000000003" customHeight="1" x14ac:dyDescent="0.2">
      <c r="A7" s="4">
        <f t="shared" si="0"/>
        <v>6</v>
      </c>
      <c r="B7" s="3" t="s">
        <v>77</v>
      </c>
      <c r="C7" s="3" t="s">
        <v>78</v>
      </c>
      <c r="D7" s="3" t="s">
        <v>79</v>
      </c>
      <c r="E7" s="3" t="s">
        <v>42</v>
      </c>
      <c r="F7" s="3" t="s">
        <v>12</v>
      </c>
      <c r="G7" s="3" t="s">
        <v>80</v>
      </c>
      <c r="H7" s="3" t="s">
        <v>81</v>
      </c>
    </row>
    <row r="8" spans="1:8" ht="39.950000000000003" customHeight="1" x14ac:dyDescent="0.2">
      <c r="A8" s="4">
        <f t="shared" si="0"/>
        <v>7</v>
      </c>
      <c r="B8" s="3" t="s">
        <v>82</v>
      </c>
      <c r="C8" s="3" t="s">
        <v>83</v>
      </c>
      <c r="D8" s="3" t="s">
        <v>84</v>
      </c>
      <c r="E8" s="3" t="s">
        <v>85</v>
      </c>
      <c r="F8" s="3" t="s">
        <v>12</v>
      </c>
      <c r="G8" s="3" t="s">
        <v>86</v>
      </c>
      <c r="H8" s="3" t="s">
        <v>87</v>
      </c>
    </row>
    <row r="9" spans="1:8" ht="39.950000000000003" customHeight="1" x14ac:dyDescent="0.2">
      <c r="A9" s="4">
        <f t="shared" si="0"/>
        <v>8</v>
      </c>
      <c r="B9" s="3" t="s">
        <v>199</v>
      </c>
      <c r="C9" s="3" t="s">
        <v>200</v>
      </c>
      <c r="D9" s="3" t="s">
        <v>201</v>
      </c>
      <c r="E9" s="3" t="s">
        <v>202</v>
      </c>
      <c r="F9" s="3" t="s">
        <v>139</v>
      </c>
      <c r="G9" s="3" t="s">
        <v>203</v>
      </c>
      <c r="H9" s="3" t="s">
        <v>55</v>
      </c>
    </row>
    <row r="10" spans="1:8" ht="39.950000000000003" customHeight="1" x14ac:dyDescent="0.2">
      <c r="A10" s="4">
        <f t="shared" si="0"/>
        <v>9</v>
      </c>
      <c r="B10" s="3" t="s">
        <v>204</v>
      </c>
      <c r="C10" s="3" t="s">
        <v>205</v>
      </c>
      <c r="D10" s="3" t="s">
        <v>206</v>
      </c>
      <c r="E10" s="3" t="s">
        <v>42</v>
      </c>
      <c r="F10" s="3" t="s">
        <v>139</v>
      </c>
      <c r="G10" s="3" t="s">
        <v>207</v>
      </c>
      <c r="H10" s="3" t="s">
        <v>55</v>
      </c>
    </row>
    <row r="11" spans="1:8" ht="39.950000000000003" customHeight="1" x14ac:dyDescent="0.2">
      <c r="A11" s="4">
        <f t="shared" si="0"/>
        <v>10</v>
      </c>
      <c r="B11" s="3" t="s">
        <v>208</v>
      </c>
      <c r="C11" s="3" t="s">
        <v>209</v>
      </c>
      <c r="D11" s="3" t="s">
        <v>210</v>
      </c>
      <c r="E11" s="3" t="s">
        <v>42</v>
      </c>
      <c r="F11" s="3" t="s">
        <v>139</v>
      </c>
      <c r="G11" s="3" t="s">
        <v>211</v>
      </c>
      <c r="H11" s="3" t="s">
        <v>55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sqref="A1:XFD1048576"/>
    </sheetView>
  </sheetViews>
  <sheetFormatPr defaultColWidth="8.875" defaultRowHeight="16.5" x14ac:dyDescent="0.2"/>
  <cols>
    <col min="1" max="1" width="8.875" style="8"/>
    <col min="2" max="2" width="21" style="6" customWidth="1"/>
    <col min="3" max="3" width="30.625" style="6" customWidth="1"/>
    <col min="4" max="4" width="47.125" style="6" customWidth="1"/>
    <col min="5" max="5" width="18.375" style="6" customWidth="1"/>
    <col min="6" max="6" width="19.75" style="6" customWidth="1"/>
    <col min="7" max="7" width="30.375" style="6" customWidth="1"/>
    <col min="8" max="8" width="23" style="6" customWidth="1"/>
    <col min="9" max="16384" width="8.875" style="6"/>
  </cols>
  <sheetData>
    <row r="1" spans="1:8" ht="23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1.1" customHeight="1" x14ac:dyDescent="0.2">
      <c r="A2" s="4">
        <v>1</v>
      </c>
      <c r="B2" s="7" t="s">
        <v>88</v>
      </c>
      <c r="C2" s="7" t="s">
        <v>89</v>
      </c>
      <c r="D2" s="7" t="s">
        <v>90</v>
      </c>
      <c r="E2" s="7" t="s">
        <v>91</v>
      </c>
      <c r="F2" s="7" t="s">
        <v>12</v>
      </c>
      <c r="G2" s="7" t="s">
        <v>92</v>
      </c>
      <c r="H2" s="7" t="s">
        <v>93</v>
      </c>
    </row>
    <row r="3" spans="1:8" ht="41.1" customHeight="1" x14ac:dyDescent="0.2">
      <c r="A3" s="4">
        <f t="shared" ref="A3:A11" si="0">A2+1</f>
        <v>2</v>
      </c>
      <c r="B3" s="7" t="s">
        <v>94</v>
      </c>
      <c r="C3" s="7" t="s">
        <v>95</v>
      </c>
      <c r="D3" s="7" t="s">
        <v>96</v>
      </c>
      <c r="E3" s="7" t="s">
        <v>42</v>
      </c>
      <c r="F3" s="7" t="s">
        <v>12</v>
      </c>
      <c r="G3" s="7" t="s">
        <v>97</v>
      </c>
      <c r="H3" s="7" t="s">
        <v>93</v>
      </c>
    </row>
    <row r="4" spans="1:8" ht="41.1" customHeight="1" x14ac:dyDescent="0.2">
      <c r="A4" s="4">
        <f t="shared" si="0"/>
        <v>3</v>
      </c>
      <c r="B4" s="7" t="s">
        <v>98</v>
      </c>
      <c r="C4" s="7" t="s">
        <v>99</v>
      </c>
      <c r="D4" s="7" t="s">
        <v>100</v>
      </c>
      <c r="E4" s="7" t="s">
        <v>101</v>
      </c>
      <c r="F4" s="7" t="s">
        <v>12</v>
      </c>
      <c r="G4" s="7" t="s">
        <v>102</v>
      </c>
      <c r="H4" s="7" t="s">
        <v>93</v>
      </c>
    </row>
    <row r="5" spans="1:8" ht="41.1" customHeight="1" x14ac:dyDescent="0.2">
      <c r="A5" s="4">
        <f t="shared" si="0"/>
        <v>4</v>
      </c>
      <c r="B5" s="7" t="s">
        <v>103</v>
      </c>
      <c r="C5" s="7" t="s">
        <v>104</v>
      </c>
      <c r="D5" s="7" t="s">
        <v>105</v>
      </c>
      <c r="E5" s="7" t="s">
        <v>42</v>
      </c>
      <c r="F5" s="7" t="s">
        <v>12</v>
      </c>
      <c r="G5" s="7" t="s">
        <v>106</v>
      </c>
      <c r="H5" s="7" t="s">
        <v>107</v>
      </c>
    </row>
    <row r="6" spans="1:8" ht="41.1" customHeight="1" x14ac:dyDescent="0.2">
      <c r="A6" s="4">
        <f t="shared" si="0"/>
        <v>5</v>
      </c>
      <c r="B6" s="7" t="s">
        <v>108</v>
      </c>
      <c r="C6" s="7" t="s">
        <v>109</v>
      </c>
      <c r="D6" s="7" t="s">
        <v>110</v>
      </c>
      <c r="E6" s="7" t="s">
        <v>42</v>
      </c>
      <c r="F6" s="7" t="s">
        <v>12</v>
      </c>
      <c r="G6" s="7" t="s">
        <v>111</v>
      </c>
      <c r="H6" s="7" t="s">
        <v>112</v>
      </c>
    </row>
    <row r="7" spans="1:8" ht="41.1" customHeight="1" x14ac:dyDescent="0.2">
      <c r="A7" s="4">
        <f t="shared" si="0"/>
        <v>6</v>
      </c>
      <c r="B7" s="7" t="s">
        <v>113</v>
      </c>
      <c r="C7" s="7" t="s">
        <v>114</v>
      </c>
      <c r="D7" s="7" t="s">
        <v>115</v>
      </c>
      <c r="E7" s="7" t="s">
        <v>116</v>
      </c>
      <c r="F7" s="7" t="s">
        <v>117</v>
      </c>
      <c r="G7" s="7" t="s">
        <v>118</v>
      </c>
      <c r="H7" s="7" t="s">
        <v>119</v>
      </c>
    </row>
    <row r="8" spans="1:8" ht="41.1" customHeight="1" x14ac:dyDescent="0.2">
      <c r="A8" s="4">
        <f t="shared" si="0"/>
        <v>7</v>
      </c>
      <c r="B8" s="7" t="s">
        <v>212</v>
      </c>
      <c r="C8" s="7" t="s">
        <v>213</v>
      </c>
      <c r="D8" s="7" t="s">
        <v>214</v>
      </c>
      <c r="E8" s="7" t="s">
        <v>116</v>
      </c>
      <c r="F8" s="7" t="s">
        <v>139</v>
      </c>
      <c r="G8" s="7" t="s">
        <v>215</v>
      </c>
      <c r="H8" s="7" t="s">
        <v>119</v>
      </c>
    </row>
    <row r="9" spans="1:8" ht="41.1" customHeight="1" x14ac:dyDescent="0.2">
      <c r="A9" s="4">
        <f t="shared" si="0"/>
        <v>8</v>
      </c>
      <c r="B9" s="7" t="s">
        <v>216</v>
      </c>
      <c r="C9" s="7" t="s">
        <v>217</v>
      </c>
      <c r="D9" s="7" t="s">
        <v>218</v>
      </c>
      <c r="E9" s="7" t="s">
        <v>116</v>
      </c>
      <c r="F9" s="7" t="s">
        <v>139</v>
      </c>
      <c r="G9" s="7" t="s">
        <v>219</v>
      </c>
      <c r="H9" s="7" t="s">
        <v>93</v>
      </c>
    </row>
    <row r="10" spans="1:8" ht="41.1" customHeight="1" x14ac:dyDescent="0.2">
      <c r="A10" s="4">
        <f t="shared" si="0"/>
        <v>9</v>
      </c>
      <c r="B10" s="7" t="s">
        <v>220</v>
      </c>
      <c r="C10" s="7" t="s">
        <v>221</v>
      </c>
      <c r="D10" s="7" t="s">
        <v>222</v>
      </c>
      <c r="E10" s="7" t="s">
        <v>116</v>
      </c>
      <c r="F10" s="7" t="s">
        <v>139</v>
      </c>
      <c r="G10" s="7" t="s">
        <v>223</v>
      </c>
      <c r="H10" s="7" t="s">
        <v>93</v>
      </c>
    </row>
    <row r="11" spans="1:8" ht="41.1" customHeight="1" x14ac:dyDescent="0.2">
      <c r="A11" s="4">
        <f t="shared" si="0"/>
        <v>10</v>
      </c>
      <c r="B11" s="7" t="s">
        <v>224</v>
      </c>
      <c r="C11" s="7" t="s">
        <v>225</v>
      </c>
      <c r="D11" s="7" t="s">
        <v>226</v>
      </c>
      <c r="E11" s="7" t="s">
        <v>116</v>
      </c>
      <c r="F11" s="7" t="s">
        <v>139</v>
      </c>
      <c r="G11" s="7" t="s">
        <v>227</v>
      </c>
      <c r="H11" s="7" t="s">
        <v>107</v>
      </c>
    </row>
    <row r="12" spans="1:8" x14ac:dyDescent="0.2">
      <c r="H12" s="6" t="s">
        <v>228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4" sqref="C4"/>
    </sheetView>
  </sheetViews>
  <sheetFormatPr defaultColWidth="8.875" defaultRowHeight="48" customHeight="1" x14ac:dyDescent="0.2"/>
  <cols>
    <col min="1" max="1" width="8.875" style="5"/>
    <col min="2" max="2" width="21" style="2" customWidth="1"/>
    <col min="3" max="3" width="34.75" style="2" customWidth="1"/>
    <col min="4" max="4" width="34.5" style="2" customWidth="1"/>
    <col min="5" max="5" width="18.375" style="2" customWidth="1"/>
    <col min="6" max="7" width="19.75" style="2" customWidth="1"/>
    <col min="8" max="8" width="23" style="2" customWidth="1"/>
    <col min="9" max="16384" width="8.875" style="2"/>
  </cols>
  <sheetData>
    <row r="1" spans="1:8" ht="4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8" customHeight="1" x14ac:dyDescent="0.2">
      <c r="A2" s="4">
        <v>1</v>
      </c>
      <c r="B2" s="3" t="s">
        <v>148</v>
      </c>
      <c r="C2" s="3" t="s">
        <v>149</v>
      </c>
      <c r="D2" s="3" t="s">
        <v>150</v>
      </c>
      <c r="E2" s="3" t="s">
        <v>151</v>
      </c>
      <c r="F2" s="3" t="s">
        <v>152</v>
      </c>
      <c r="G2" s="3" t="s">
        <v>153</v>
      </c>
      <c r="H2" s="3" t="s">
        <v>154</v>
      </c>
    </row>
    <row r="3" spans="1:8" ht="48" customHeight="1" x14ac:dyDescent="0.2">
      <c r="A3" s="4">
        <f t="shared" ref="A3:A11" si="0">A2+1</f>
        <v>2</v>
      </c>
      <c r="B3" s="3" t="s">
        <v>155</v>
      </c>
      <c r="C3" s="3" t="s">
        <v>156</v>
      </c>
      <c r="D3" s="3" t="s">
        <v>157</v>
      </c>
      <c r="E3" s="3" t="s">
        <v>151</v>
      </c>
      <c r="F3" s="3" t="s">
        <v>152</v>
      </c>
      <c r="G3" s="3" t="s">
        <v>158</v>
      </c>
      <c r="H3" s="3" t="s">
        <v>159</v>
      </c>
    </row>
    <row r="4" spans="1:8" ht="48" customHeight="1" x14ac:dyDescent="0.2">
      <c r="A4" s="4">
        <f t="shared" si="0"/>
        <v>3</v>
      </c>
      <c r="B4" s="3" t="s">
        <v>160</v>
      </c>
      <c r="C4" s="3" t="s">
        <v>161</v>
      </c>
      <c r="D4" s="3" t="s">
        <v>162</v>
      </c>
      <c r="E4" s="3" t="s">
        <v>67</v>
      </c>
      <c r="F4" s="3" t="s">
        <v>12</v>
      </c>
      <c r="G4" s="3" t="s">
        <v>163</v>
      </c>
      <c r="H4" s="3" t="s">
        <v>69</v>
      </c>
    </row>
    <row r="5" spans="1:8" ht="48" customHeight="1" x14ac:dyDescent="0.2">
      <c r="A5" s="4">
        <f t="shared" si="0"/>
        <v>4</v>
      </c>
      <c r="B5" s="3" t="s">
        <v>164</v>
      </c>
      <c r="C5" s="3" t="s">
        <v>165</v>
      </c>
      <c r="D5" s="3" t="s">
        <v>166</v>
      </c>
      <c r="E5" s="3" t="s">
        <v>67</v>
      </c>
      <c r="F5" s="3" t="s">
        <v>12</v>
      </c>
      <c r="G5" s="3" t="s">
        <v>167</v>
      </c>
      <c r="H5" s="3" t="s">
        <v>168</v>
      </c>
    </row>
    <row r="6" spans="1:8" ht="48" customHeight="1" x14ac:dyDescent="0.2">
      <c r="A6" s="4">
        <f t="shared" si="0"/>
        <v>5</v>
      </c>
      <c r="B6" s="3" t="s">
        <v>169</v>
      </c>
      <c r="C6" s="3" t="s">
        <v>170</v>
      </c>
      <c r="D6" s="3" t="s">
        <v>171</v>
      </c>
      <c r="E6" s="3" t="s">
        <v>172</v>
      </c>
      <c r="F6" s="3" t="s">
        <v>152</v>
      </c>
      <c r="G6" s="3" t="s">
        <v>173</v>
      </c>
      <c r="H6" s="3" t="s">
        <v>174</v>
      </c>
    </row>
    <row r="7" spans="1:8" ht="48" customHeight="1" x14ac:dyDescent="0.2">
      <c r="A7" s="4">
        <f t="shared" si="0"/>
        <v>6</v>
      </c>
      <c r="B7" s="3" t="s">
        <v>229</v>
      </c>
      <c r="C7" s="3" t="s">
        <v>230</v>
      </c>
      <c r="D7" s="3" t="s">
        <v>231</v>
      </c>
      <c r="E7" s="3" t="s">
        <v>232</v>
      </c>
      <c r="F7" s="3" t="s">
        <v>12</v>
      </c>
      <c r="G7" s="3" t="s">
        <v>233</v>
      </c>
      <c r="H7" s="3" t="s">
        <v>234</v>
      </c>
    </row>
    <row r="8" spans="1:8" ht="48" customHeight="1" x14ac:dyDescent="0.2">
      <c r="A8" s="4">
        <f t="shared" si="0"/>
        <v>7</v>
      </c>
      <c r="B8" s="3" t="s">
        <v>235</v>
      </c>
      <c r="C8" s="3" t="s">
        <v>236</v>
      </c>
      <c r="D8" s="3" t="s">
        <v>237</v>
      </c>
      <c r="E8" s="3" t="s">
        <v>67</v>
      </c>
      <c r="F8" s="3" t="s">
        <v>12</v>
      </c>
      <c r="G8" s="3" t="s">
        <v>238</v>
      </c>
      <c r="H8" s="3" t="s">
        <v>239</v>
      </c>
    </row>
    <row r="9" spans="1:8" ht="48" customHeight="1" x14ac:dyDescent="0.2">
      <c r="A9" s="4">
        <f t="shared" si="0"/>
        <v>8</v>
      </c>
      <c r="B9" s="3" t="s">
        <v>240</v>
      </c>
      <c r="C9" s="3" t="s">
        <v>241</v>
      </c>
      <c r="D9" s="3" t="s">
        <v>242</v>
      </c>
      <c r="E9" s="3" t="s">
        <v>243</v>
      </c>
      <c r="F9" s="3" t="s">
        <v>244</v>
      </c>
      <c r="G9" s="3" t="s">
        <v>245</v>
      </c>
      <c r="H9" s="3" t="s">
        <v>246</v>
      </c>
    </row>
    <row r="10" spans="1:8" ht="48" customHeight="1" x14ac:dyDescent="0.2">
      <c r="A10" s="4">
        <f t="shared" si="0"/>
        <v>9</v>
      </c>
      <c r="B10" s="3" t="s">
        <v>247</v>
      </c>
      <c r="C10" s="3" t="s">
        <v>248</v>
      </c>
      <c r="D10" s="3" t="s">
        <v>249</v>
      </c>
      <c r="E10" s="3" t="s">
        <v>250</v>
      </c>
      <c r="F10" s="3" t="s">
        <v>12</v>
      </c>
      <c r="G10" s="3" t="s">
        <v>251</v>
      </c>
      <c r="H10" s="3" t="s">
        <v>252</v>
      </c>
    </row>
    <row r="11" spans="1:8" ht="48" customHeight="1" x14ac:dyDescent="0.2">
      <c r="A11" s="4">
        <f t="shared" si="0"/>
        <v>10</v>
      </c>
      <c r="B11" s="3" t="s">
        <v>253</v>
      </c>
      <c r="C11" s="3" t="s">
        <v>254</v>
      </c>
      <c r="D11" s="3" t="s">
        <v>255</v>
      </c>
      <c r="E11" s="3" t="s">
        <v>67</v>
      </c>
      <c r="F11" s="3" t="s">
        <v>12</v>
      </c>
      <c r="G11" s="3" t="s">
        <v>256</v>
      </c>
      <c r="H11" s="3" t="s">
        <v>257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D9" sqref="D9"/>
    </sheetView>
  </sheetViews>
  <sheetFormatPr defaultColWidth="8.875" defaultRowHeight="16.5" x14ac:dyDescent="0.2"/>
  <cols>
    <col min="1" max="1" width="8.875" style="5"/>
    <col min="2" max="2" width="21" style="2" customWidth="1"/>
    <col min="3" max="3" width="20.75" style="2" customWidth="1"/>
    <col min="4" max="4" width="34.5" style="2" customWidth="1"/>
    <col min="5" max="5" width="18.375" style="2" customWidth="1"/>
    <col min="6" max="7" width="19.75" style="2" customWidth="1"/>
    <col min="8" max="8" width="23" style="2" customWidth="1"/>
    <col min="9" max="16384" width="8.875" style="2"/>
  </cols>
  <sheetData>
    <row r="1" spans="1:8" ht="23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customHeight="1" x14ac:dyDescent="0.2">
      <c r="A2" s="4">
        <v>1</v>
      </c>
      <c r="B2" s="3" t="s">
        <v>120</v>
      </c>
      <c r="C2" s="3" t="s">
        <v>121</v>
      </c>
      <c r="D2" s="3" t="s">
        <v>122</v>
      </c>
      <c r="E2" s="3" t="s">
        <v>123</v>
      </c>
      <c r="F2" s="3" t="s">
        <v>12</v>
      </c>
      <c r="G2" s="3" t="s">
        <v>124</v>
      </c>
      <c r="H2" s="3" t="s">
        <v>125</v>
      </c>
    </row>
    <row r="3" spans="1:8" ht="42" customHeight="1" x14ac:dyDescent="0.2">
      <c r="A3" s="4">
        <f t="shared" ref="A3:A11" si="0">A2+1</f>
        <v>2</v>
      </c>
      <c r="B3" s="3" t="s">
        <v>126</v>
      </c>
      <c r="C3" s="3" t="s">
        <v>127</v>
      </c>
      <c r="D3" s="3" t="s">
        <v>128</v>
      </c>
      <c r="E3" s="3" t="s">
        <v>129</v>
      </c>
      <c r="F3" s="3" t="s">
        <v>12</v>
      </c>
      <c r="G3" s="3" t="s">
        <v>130</v>
      </c>
      <c r="H3" s="3" t="s">
        <v>87</v>
      </c>
    </row>
    <row r="4" spans="1:8" ht="42" customHeight="1" x14ac:dyDescent="0.2">
      <c r="A4" s="4">
        <f t="shared" si="0"/>
        <v>3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12</v>
      </c>
      <c r="G4" s="3" t="s">
        <v>135</v>
      </c>
      <c r="H4" s="3" t="s">
        <v>87</v>
      </c>
    </row>
    <row r="5" spans="1:8" ht="42" customHeight="1" x14ac:dyDescent="0.2">
      <c r="A5" s="4">
        <f t="shared" si="0"/>
        <v>4</v>
      </c>
      <c r="B5" s="3" t="s">
        <v>136</v>
      </c>
      <c r="C5" s="3" t="s">
        <v>137</v>
      </c>
      <c r="D5" s="3" t="s">
        <v>138</v>
      </c>
      <c r="E5" s="3" t="s">
        <v>123</v>
      </c>
      <c r="F5" s="3" t="s">
        <v>139</v>
      </c>
      <c r="G5" s="3" t="s">
        <v>140</v>
      </c>
      <c r="H5" s="3" t="s">
        <v>141</v>
      </c>
    </row>
    <row r="6" spans="1:8" ht="42" customHeight="1" x14ac:dyDescent="0.2">
      <c r="A6" s="4">
        <f t="shared" si="0"/>
        <v>5</v>
      </c>
      <c r="B6" s="3" t="s">
        <v>142</v>
      </c>
      <c r="C6" s="3" t="s">
        <v>143</v>
      </c>
      <c r="D6" s="3" t="s">
        <v>144</v>
      </c>
      <c r="E6" s="3" t="s">
        <v>145</v>
      </c>
      <c r="F6" s="3" t="s">
        <v>12</v>
      </c>
      <c r="G6" s="3" t="s">
        <v>146</v>
      </c>
      <c r="H6" s="3" t="s">
        <v>147</v>
      </c>
    </row>
    <row r="7" spans="1:8" ht="42" customHeight="1" x14ac:dyDescent="0.2">
      <c r="A7" s="4">
        <f t="shared" si="0"/>
        <v>6</v>
      </c>
      <c r="B7" s="3" t="s">
        <v>258</v>
      </c>
      <c r="C7" s="3" t="s">
        <v>259</v>
      </c>
      <c r="D7" s="3" t="s">
        <v>284</v>
      </c>
      <c r="E7" s="3" t="s">
        <v>145</v>
      </c>
      <c r="F7" s="3" t="s">
        <v>12</v>
      </c>
      <c r="G7" s="3" t="s">
        <v>260</v>
      </c>
      <c r="H7" s="3" t="s">
        <v>261</v>
      </c>
    </row>
    <row r="8" spans="1:8" ht="42" customHeight="1" x14ac:dyDescent="0.2">
      <c r="A8" s="4">
        <f t="shared" si="0"/>
        <v>7</v>
      </c>
      <c r="B8" s="3" t="s">
        <v>262</v>
      </c>
      <c r="C8" s="3" t="s">
        <v>263</v>
      </c>
      <c r="D8" s="3" t="s">
        <v>285</v>
      </c>
      <c r="E8" s="3" t="s">
        <v>264</v>
      </c>
      <c r="F8" s="3" t="s">
        <v>12</v>
      </c>
      <c r="G8" s="3" t="s">
        <v>265</v>
      </c>
      <c r="H8" s="3" t="s">
        <v>266</v>
      </c>
    </row>
    <row r="9" spans="1:8" ht="42" customHeight="1" x14ac:dyDescent="0.2">
      <c r="A9" s="4">
        <f t="shared" si="0"/>
        <v>8</v>
      </c>
      <c r="B9" s="3" t="s">
        <v>267</v>
      </c>
      <c r="C9" s="3" t="s">
        <v>268</v>
      </c>
      <c r="D9" s="3" t="s">
        <v>269</v>
      </c>
      <c r="E9" s="3" t="s">
        <v>145</v>
      </c>
      <c r="F9" s="3" t="s">
        <v>74</v>
      </c>
      <c r="G9" s="3" t="s">
        <v>270</v>
      </c>
      <c r="H9" s="3" t="s">
        <v>87</v>
      </c>
    </row>
    <row r="10" spans="1:8" ht="42" customHeight="1" x14ac:dyDescent="0.2">
      <c r="A10" s="4">
        <f t="shared" si="0"/>
        <v>9</v>
      </c>
      <c r="B10" s="3" t="s">
        <v>271</v>
      </c>
      <c r="C10" s="3" t="s">
        <v>272</v>
      </c>
      <c r="D10" s="3" t="s">
        <v>273</v>
      </c>
      <c r="E10" s="3" t="s">
        <v>274</v>
      </c>
      <c r="F10" s="3" t="s">
        <v>74</v>
      </c>
      <c r="G10" s="3" t="s">
        <v>275</v>
      </c>
      <c r="H10" s="3" t="s">
        <v>276</v>
      </c>
    </row>
    <row r="11" spans="1:8" ht="42" customHeight="1" x14ac:dyDescent="0.2">
      <c r="A11" s="4">
        <f t="shared" si="0"/>
        <v>10</v>
      </c>
      <c r="B11" s="3" t="s">
        <v>277</v>
      </c>
      <c r="C11" s="3" t="s">
        <v>278</v>
      </c>
      <c r="D11" s="3" t="s">
        <v>279</v>
      </c>
      <c r="E11" s="3" t="s">
        <v>123</v>
      </c>
      <c r="F11" s="3" t="s">
        <v>12</v>
      </c>
      <c r="G11" s="3" t="s">
        <v>280</v>
      </c>
      <c r="H11" s="3" t="s">
        <v>281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驾驶舱</vt:lpstr>
      <vt:lpstr>项目生命周期</vt:lpstr>
      <vt:lpstr>财务运营与成本管控模块</vt:lpstr>
      <vt:lpstr>人力资源效能发展</vt:lpstr>
      <vt:lpstr>生产运营与物料保障</vt:lpstr>
      <vt:lpstr>供应链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billyxie</dc:creator>
  <cp:lastModifiedBy>Administrator</cp:lastModifiedBy>
  <dcterms:created xsi:type="dcterms:W3CDTF">2025-06-16T00:31:00Z</dcterms:created>
  <dcterms:modified xsi:type="dcterms:W3CDTF">2025-06-18T03:08:52Z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61E83527240243248B75F996D7481A5C_12</vt:lpwstr>
  </property>
  <property fmtid="{D5CDD505-2E9C-101B-9397-08002B2CF9AE}" pid="3" name="KSOProductBuildVer">
    <vt:lpwstr>2052-12.1.0.21541</vt:lpwstr>
  </property>
</Properties>
</file>