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指标实现对比" sheetId="1" state="visible" r:id="rId1"/>
  </sheets>
  <definedNames>
    <definedName name="_xlnm._FilterDatabase" localSheetId="0" hidden="1">'指标实现对比'!$A$1:$G$35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FFFFFF"/>
      <sz val="11"/>
    </font>
    <font>
      <color rgb="00006100"/>
    </font>
    <font>
      <b val="1"/>
      <sz val="11"/>
    </font>
    <font>
      <b val="1"/>
    </font>
    <font>
      <b val="1"/>
      <color rgb="00006100"/>
    </font>
  </fonts>
  <fills count="8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DAEEF3"/>
        <bgColor rgb="00DAEEF3"/>
      </patternFill>
    </fill>
    <fill>
      <patternFill patternType="solid">
        <fgColor rgb="00C6EFCE"/>
        <bgColor rgb="00C6EFCE"/>
      </patternFill>
    </fill>
    <fill>
      <patternFill patternType="solid">
        <fgColor rgb="00E4DFEC"/>
        <bgColor rgb="00E4DFEC"/>
      </patternFill>
    </fill>
    <fill>
      <patternFill patternType="solid">
        <fgColor rgb="00FDE9D9"/>
        <bgColor rgb="00FDE9D9"/>
      </patternFill>
    </fill>
    <fill>
      <patternFill patternType="solid">
        <fgColor rgb="00D8E4BC"/>
        <bgColor rgb="00D8E4B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center" wrapText="1"/>
    </xf>
    <xf numFmtId="0" fontId="2" fillId="4" borderId="1" applyAlignment="1" pivotButton="0" quotePrefix="0" xfId="0">
      <alignment horizontal="center" vertical="center"/>
    </xf>
    <xf numFmtId="0" fontId="0" fillId="5" borderId="1" applyAlignment="1" pivotButton="0" quotePrefix="0" xfId="0">
      <alignment horizontal="center" vertical="center"/>
    </xf>
    <xf numFmtId="0" fontId="0" fillId="6" borderId="1" applyAlignment="1" pivotButton="0" quotePrefix="0" xfId="0">
      <alignment horizontal="center" vertical="center"/>
    </xf>
    <xf numFmtId="0" fontId="0" fillId="7" borderId="1" applyAlignment="1" pivotButton="0" quotePrefix="0" xfId="0">
      <alignment horizontal="center" vertical="center"/>
    </xf>
    <xf numFmtId="0" fontId="3" fillId="0" borderId="0" pivotButton="0" quotePrefix="0" xfId="0"/>
    <xf numFmtId="0" fontId="4" fillId="0" borderId="0" pivotButton="0" quotePrefix="0" xfId="0"/>
    <xf numFmtId="0" fontId="5" fillId="4" borderId="1" applyAlignment="1" pivotButton="0" quotePrefix="0" xfId="0">
      <alignment horizontal="center"/>
    </xf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14" customWidth="1" min="2" max="2"/>
    <col width="42" customWidth="1" min="3" max="3"/>
    <col width="36" customWidth="1" min="4" max="4"/>
    <col width="38" customWidth="1" min="5" max="5"/>
    <col width="8" customWidth="1" min="6" max="6"/>
    <col width="30" customWidth="1" min="7" max="7"/>
  </cols>
  <sheetData>
    <row r="1" ht="28" customHeight="1">
      <c r="A1" s="1" t="inlineStr">
        <is>
          <t>#</t>
        </is>
      </c>
      <c r="B1" s="1" t="inlineStr">
        <is>
          <t>维度</t>
        </is>
      </c>
      <c r="C1" s="1" t="inlineStr">
        <is>
          <t>客户指标名称</t>
        </is>
      </c>
      <c r="D1" s="1" t="inlineStr">
        <is>
          <t>ADS 表</t>
        </is>
      </c>
      <c r="E1" s="1" t="inlineStr">
        <is>
          <t>对应字段</t>
        </is>
      </c>
      <c r="F1" s="1" t="inlineStr">
        <is>
          <t>状态</t>
        </is>
      </c>
      <c r="G1" s="1" t="inlineStr">
        <is>
          <t>备注</t>
        </is>
      </c>
    </row>
    <row r="2" ht="22" customHeight="1">
      <c r="A2" s="2" t="n">
        <v>1</v>
      </c>
      <c r="B2" s="3" t="inlineStr">
        <is>
          <t>含一般节点</t>
        </is>
      </c>
      <c r="C2" s="4" t="inlineStr">
        <is>
          <t>项目本周期节点总数</t>
        </is>
      </c>
      <c r="D2" s="4" t="inlineStr">
        <is>
          <t>biz_ads_project_kpi_overview</t>
        </is>
      </c>
      <c r="E2" s="4" t="inlineStr">
        <is>
          <t>total_cnt</t>
        </is>
      </c>
      <c r="F2" s="5" t="inlineStr">
        <is>
          <t>✅ 已实现</t>
        </is>
      </c>
      <c r="G2" s="4" t="inlineStr"/>
    </row>
    <row r="3" ht="22" customHeight="1">
      <c r="A3" s="2" t="n">
        <v>2</v>
      </c>
      <c r="B3" s="3" t="inlineStr">
        <is>
          <t>含一般节点</t>
        </is>
      </c>
      <c r="C3" s="4" t="inlineStr">
        <is>
          <t>正常待完成（正常且未到时间节点数）</t>
        </is>
      </c>
      <c r="D3" s="4" t="inlineStr">
        <is>
          <t>biz_ads_project_kpi_overview</t>
        </is>
      </c>
      <c r="E3" s="4" t="inlineStr">
        <is>
          <t>pending_normal_cnt</t>
        </is>
      </c>
      <c r="F3" s="5" t="inlineStr">
        <is>
          <t>✅ 已实现</t>
        </is>
      </c>
      <c r="G3" s="4" t="inlineStr"/>
    </row>
    <row r="4" ht="22" customHeight="1">
      <c r="A4" s="2" t="n">
        <v>3</v>
      </c>
      <c r="B4" s="3" t="inlineStr">
        <is>
          <t>含一般节点</t>
        </is>
      </c>
      <c r="C4" s="4" t="inlineStr">
        <is>
          <t>项目本周期节点已到时间节点总数</t>
        </is>
      </c>
      <c r="D4" s="4" t="inlineStr">
        <is>
          <t>biz_ads_project_kpi_overview</t>
        </is>
      </c>
      <c r="E4" s="4" t="inlineStr">
        <is>
          <t>due_cnt</t>
        </is>
      </c>
      <c r="F4" s="5" t="inlineStr">
        <is>
          <t>✅ 已实现</t>
        </is>
      </c>
      <c r="G4" s="4" t="inlineStr"/>
    </row>
    <row r="5" ht="22" customHeight="1">
      <c r="A5" s="2" t="n">
        <v>4</v>
      </c>
      <c r="B5" s="3" t="inlineStr">
        <is>
          <t>含一般节点</t>
        </is>
      </c>
      <c r="C5" s="4" t="inlineStr">
        <is>
          <t>项目本周期以外完成节点总数</t>
        </is>
      </c>
      <c r="D5" s="4" t="inlineStr">
        <is>
          <t>biz_ads_project_kpi_overview</t>
        </is>
      </c>
      <c r="E5" s="4" t="inlineStr">
        <is>
          <t>outside_completed_cnt</t>
        </is>
      </c>
      <c r="F5" s="5" t="inlineStr">
        <is>
          <t>✅ 已实现</t>
        </is>
      </c>
      <c r="G5" s="4" t="inlineStr">
        <is>
          <t>跨周期完成的节点</t>
        </is>
      </c>
    </row>
    <row r="6" ht="22" customHeight="1">
      <c r="A6" s="2" t="n">
        <v>5</v>
      </c>
      <c r="B6" s="3" t="inlineStr">
        <is>
          <t>含一般节点</t>
        </is>
      </c>
      <c r="C6" s="4" t="inlineStr">
        <is>
          <t>项目本周期节点未完成总数</t>
        </is>
      </c>
      <c r="D6" s="4" t="inlineStr">
        <is>
          <t>biz_ads_project_kpi_overview</t>
        </is>
      </c>
      <c r="E6" s="4" t="inlineStr">
        <is>
          <t>incomplete_cnt</t>
        </is>
      </c>
      <c r="F6" s="5" t="inlineStr">
        <is>
          <t>✅ 已实现</t>
        </is>
      </c>
      <c r="G6" s="4" t="inlineStr"/>
    </row>
    <row r="7" ht="22" customHeight="1">
      <c r="A7" s="2" t="n">
        <v>6</v>
      </c>
      <c r="B7" s="3" t="inlineStr">
        <is>
          <t>含一般节点</t>
        </is>
      </c>
      <c r="C7" s="4" t="inlineStr">
        <is>
          <t>节点按时完成数</t>
        </is>
      </c>
      <c r="D7" s="4" t="inlineStr">
        <is>
          <t>biz_ads_project_kpi_overview</t>
        </is>
      </c>
      <c r="E7" s="4" t="inlineStr">
        <is>
          <t>on_time_cnt</t>
        </is>
      </c>
      <c r="F7" s="5" t="inlineStr">
        <is>
          <t>✅ 已实现</t>
        </is>
      </c>
      <c r="G7" s="4" t="inlineStr"/>
    </row>
    <row r="8" ht="22" customHeight="1">
      <c r="A8" s="2" t="n">
        <v>7</v>
      </c>
      <c r="B8" s="3" t="inlineStr">
        <is>
          <t>含一般节点</t>
        </is>
      </c>
      <c r="C8" s="4" t="inlineStr">
        <is>
          <t>正常待完成（正常且未到时间节点数）</t>
        </is>
      </c>
      <c r="D8" s="4" t="inlineStr">
        <is>
          <t>biz_ads_project_kpi_overview</t>
        </is>
      </c>
      <c r="E8" s="4" t="inlineStr">
        <is>
          <t>pending_normal_cnt</t>
        </is>
      </c>
      <c r="F8" s="5" t="inlineStr">
        <is>
          <t>✅ 已实现</t>
        </is>
      </c>
      <c r="G8" s="4" t="inlineStr">
        <is>
          <t>与第2条重复</t>
        </is>
      </c>
    </row>
    <row r="9" ht="22" customHeight="1">
      <c r="A9" s="2" t="n">
        <v>8</v>
      </c>
      <c r="B9" s="3" t="inlineStr">
        <is>
          <t>含一般节点</t>
        </is>
      </c>
      <c r="C9" s="4" t="inlineStr">
        <is>
          <t>节点超期完成数</t>
        </is>
      </c>
      <c r="D9" s="4" t="inlineStr">
        <is>
          <t>biz_ads_project_kpi_overview</t>
        </is>
      </c>
      <c r="E9" s="4" t="inlineStr">
        <is>
          <t>overdue_completed_cnt</t>
        </is>
      </c>
      <c r="F9" s="5" t="inlineStr">
        <is>
          <t>✅ 已实现</t>
        </is>
      </c>
      <c r="G9" s="4" t="inlineStr"/>
    </row>
    <row r="10" ht="22" customHeight="1">
      <c r="A10" s="2" t="n">
        <v>9</v>
      </c>
      <c r="B10" s="3" t="inlineStr">
        <is>
          <t>含一般节点</t>
        </is>
      </c>
      <c r="C10" s="4" t="inlineStr">
        <is>
          <t>节点完成总数</t>
        </is>
      </c>
      <c r="D10" s="4" t="inlineStr">
        <is>
          <t>biz_ads_project_kpi_overview</t>
        </is>
      </c>
      <c r="E10" s="4" t="inlineStr">
        <is>
          <t>completed_total_cnt</t>
        </is>
      </c>
      <c r="F10" s="5" t="inlineStr">
        <is>
          <t>✅ 已实现</t>
        </is>
      </c>
      <c r="G10" s="4" t="inlineStr">
        <is>
          <t>含跨周期完成</t>
        </is>
      </c>
    </row>
    <row r="11" ht="22" customHeight="1">
      <c r="A11" s="2" t="n">
        <v>10</v>
      </c>
      <c r="B11" s="3" t="inlineStr">
        <is>
          <t>含一般节点</t>
        </is>
      </c>
      <c r="C11" s="4" t="inlineStr">
        <is>
          <t>节点完成百分比</t>
        </is>
      </c>
      <c r="D11" s="4" t="inlineStr">
        <is>
          <t>biz_ads_project_kpi_overview</t>
        </is>
      </c>
      <c r="E11" s="4" t="inlineStr">
        <is>
          <t>completion_rate</t>
        </is>
      </c>
      <c r="F11" s="5" t="inlineStr">
        <is>
          <t>✅ 已实现</t>
        </is>
      </c>
      <c r="G11" s="4">
        <f> completed_total / (due + outside)</f>
        <v/>
      </c>
    </row>
    <row r="12" ht="22" customHeight="1">
      <c r="A12" s="2" t="n">
        <v>11</v>
      </c>
      <c r="B12" s="3" t="inlineStr">
        <is>
          <t>含一般节点</t>
        </is>
      </c>
      <c r="C12" s="4" t="inlineStr">
        <is>
          <t>节点按时完成百分比</t>
        </is>
      </c>
      <c r="D12" s="4" t="inlineStr">
        <is>
          <t>biz_ads_project_kpi_overview</t>
        </is>
      </c>
      <c r="E12" s="4" t="inlineStr">
        <is>
          <t>on_time_rate</t>
        </is>
      </c>
      <c r="F12" s="5" t="inlineStr">
        <is>
          <t>✅ 已实现</t>
        </is>
      </c>
      <c r="G12" s="4">
        <f> on_time / (due + outside)</f>
        <v/>
      </c>
    </row>
    <row r="13" ht="22" customHeight="1">
      <c r="A13" s="2" t="n">
        <v>12</v>
      </c>
      <c r="B13" s="3" t="inlineStr">
        <is>
          <t>含一般节点</t>
        </is>
      </c>
      <c r="C13" s="4" t="inlineStr">
        <is>
          <t>超期完成节点百分比</t>
        </is>
      </c>
      <c r="D13" s="4" t="inlineStr">
        <is>
          <t>biz_ads_project_kpi_overview</t>
        </is>
      </c>
      <c r="E13" s="4" t="inlineStr">
        <is>
          <t>overdue_completion_rate</t>
        </is>
      </c>
      <c r="F13" s="5" t="inlineStr">
        <is>
          <t>✅ 已实现</t>
        </is>
      </c>
      <c r="G13" s="4">
        <f> (overdue + outside) / (total + outside)</f>
        <v/>
      </c>
    </row>
    <row r="14" ht="22" customHeight="1">
      <c r="A14" s="2" t="n">
        <v>13</v>
      </c>
      <c r="B14" s="3" t="inlineStr">
        <is>
          <t>含一般节点</t>
        </is>
      </c>
      <c r="C14" s="4" t="inlineStr">
        <is>
          <t>不正常待变更节点数</t>
        </is>
      </c>
      <c r="D14" s="4" t="inlineStr">
        <is>
          <t>biz_ads_project_kpi_overview</t>
        </is>
      </c>
      <c r="E14" s="4" t="inlineStr">
        <is>
          <t>abnormal_pending_cnt</t>
        </is>
      </c>
      <c r="F14" s="5" t="inlineStr">
        <is>
          <t>✅ 已实现</t>
        </is>
      </c>
      <c r="G14" s="4" t="inlineStr"/>
    </row>
    <row r="15" ht="22" customHeight="1">
      <c r="A15" s="2" t="n">
        <v>14</v>
      </c>
      <c r="B15" s="3" t="inlineStr">
        <is>
          <t>含一般节点</t>
        </is>
      </c>
      <c r="C15" s="4" t="inlineStr">
        <is>
          <t>超期未完成且未走变更流程的节点数</t>
        </is>
      </c>
      <c r="D15" s="4" t="inlineStr">
        <is>
          <t>biz_ads_project_kpi_overview</t>
        </is>
      </c>
      <c r="E15" s="4" t="inlineStr">
        <is>
          <t>overdue_incomplete_unchanged_cnt</t>
        </is>
      </c>
      <c r="F15" s="5" t="inlineStr">
        <is>
          <t>✅ 已实现</t>
        </is>
      </c>
      <c r="G15" s="4" t="inlineStr"/>
    </row>
    <row r="16" ht="22" customHeight="1">
      <c r="A16" s="2" t="n">
        <v>15</v>
      </c>
      <c r="B16" s="6" t="inlineStr">
        <is>
          <t>除一般节点</t>
        </is>
      </c>
      <c r="C16" s="4" t="inlineStr">
        <is>
          <t>超期未完成但走完变更流程节点数</t>
        </is>
      </c>
      <c r="D16" s="4" t="inlineStr">
        <is>
          <t>biz_ads_project_non_general_kpi</t>
        </is>
      </c>
      <c r="E16" s="4" t="inlineStr">
        <is>
          <t>overdue_incomplete_changed_cnt</t>
        </is>
      </c>
      <c r="F16" s="5" t="inlineStr">
        <is>
          <t>✅ 已实现</t>
        </is>
      </c>
      <c r="G16" s="4" t="inlineStr">
        <is>
          <t>仅统计重要/重大/里程碑</t>
        </is>
      </c>
    </row>
    <row r="17" ht="22" customHeight="1">
      <c r="A17" s="2" t="n">
        <v>16</v>
      </c>
      <c r="B17" s="6" t="inlineStr">
        <is>
          <t>除一般节点</t>
        </is>
      </c>
      <c r="C17" s="4" t="inlineStr">
        <is>
          <t>超期已完成未变更</t>
        </is>
      </c>
      <c r="D17" s="4" t="inlineStr">
        <is>
          <t>biz_ads_project_non_general_kpi</t>
        </is>
      </c>
      <c r="E17" s="4" t="inlineStr">
        <is>
          <t>overdue_completed_unchanged_cnt</t>
        </is>
      </c>
      <c r="F17" s="5" t="inlineStr">
        <is>
          <t>✅ 已实现</t>
        </is>
      </c>
      <c r="G17" s="4" t="inlineStr">
        <is>
          <t>仅统计重要/重大/里程碑</t>
        </is>
      </c>
    </row>
    <row r="18" ht="22" customHeight="1">
      <c r="A18" s="2" t="n">
        <v>17</v>
      </c>
      <c r="B18" s="6" t="inlineStr">
        <is>
          <t>除一般节点</t>
        </is>
      </c>
      <c r="C18" s="4" t="inlineStr">
        <is>
          <t>节点已经不正常待变更的百分比（含不正常待变更、超期未完成未变更）</t>
        </is>
      </c>
      <c r="D18" s="4" t="inlineStr">
        <is>
          <t>biz_ads_project_non_general_kpi</t>
        </is>
      </c>
      <c r="E18" s="4" t="inlineStr">
        <is>
          <t>abnormal_rate</t>
        </is>
      </c>
      <c r="F18" s="5" t="inlineStr">
        <is>
          <t>✅ 已实现</t>
        </is>
      </c>
      <c r="G18" s="4">
        <f> (abnormal + overdue_unchanged) / due_non_general</f>
        <v/>
      </c>
    </row>
    <row r="19" ht="22" customHeight="1">
      <c r="A19" s="2" t="n">
        <v>18</v>
      </c>
      <c r="B19" s="6" t="inlineStr">
        <is>
          <t>除一般节点</t>
        </is>
      </c>
      <c r="C19" s="4" t="inlineStr">
        <is>
          <t>节点超期百分比</t>
        </is>
      </c>
      <c r="D19" s="4" t="inlineStr">
        <is>
          <t>biz_ads_project_non_general_kpi</t>
        </is>
      </c>
      <c r="E19" s="4" t="inlineStr">
        <is>
          <t>overdue_rate</t>
        </is>
      </c>
      <c r="F19" s="5" t="inlineStr">
        <is>
          <t>✅ 已实现</t>
        </is>
      </c>
      <c r="G19" s="4">
        <f> (overdue_unchanged + overdue_changed) / due_non_general</f>
        <v/>
      </c>
    </row>
    <row r="20" ht="22" customHeight="1">
      <c r="A20" s="2" t="n">
        <v>19</v>
      </c>
      <c r="B20" s="7" t="inlineStr">
        <is>
          <t>未完成节点</t>
        </is>
      </c>
      <c r="C20" s="4" t="inlineStr">
        <is>
          <t>截止目前未完成高风险节点数</t>
        </is>
      </c>
      <c r="D20" s="4" t="inlineStr">
        <is>
          <t>biz_ads_project_incomplete_risk</t>
        </is>
      </c>
      <c r="E20" s="4" t="inlineStr">
        <is>
          <t>incomplete_high_risk_cnt</t>
        </is>
      </c>
      <c r="F20" s="5" t="inlineStr">
        <is>
          <t>✅ 已实现</t>
        </is>
      </c>
      <c r="G20" s="4" t="inlineStr">
        <is>
          <t>risk_level='高' AND is_incomplete</t>
        </is>
      </c>
    </row>
    <row r="21" ht="22" customHeight="1">
      <c r="A21" s="2" t="n">
        <v>20</v>
      </c>
      <c r="B21" s="7" t="inlineStr">
        <is>
          <t>未完成节点</t>
        </is>
      </c>
      <c r="C21" s="4" t="inlineStr">
        <is>
          <t>截止目前未完成中风险节点数</t>
        </is>
      </c>
      <c r="D21" s="4" t="inlineStr">
        <is>
          <t>biz_ads_project_incomplete_risk</t>
        </is>
      </c>
      <c r="E21" s="4" t="inlineStr">
        <is>
          <t>incomplete_mid_risk_cnt</t>
        </is>
      </c>
      <c r="F21" s="5" t="inlineStr">
        <is>
          <t>✅ 已实现</t>
        </is>
      </c>
      <c r="G21" s="4" t="inlineStr">
        <is>
          <t>risk_level='中' AND is_incomplete</t>
        </is>
      </c>
    </row>
    <row r="22" ht="22" customHeight="1">
      <c r="A22" s="2" t="n">
        <v>21</v>
      </c>
      <c r="B22" s="7" t="inlineStr">
        <is>
          <t>未完成节点</t>
        </is>
      </c>
      <c r="C22" s="4" t="inlineStr">
        <is>
          <t>截止目前未完成里程碑节点数</t>
        </is>
      </c>
      <c r="D22" s="4" t="inlineStr">
        <is>
          <t>biz_ads_project_incomplete_risk</t>
        </is>
      </c>
      <c r="E22" s="4" t="inlineStr">
        <is>
          <t>incomplete_milestone_cnt</t>
        </is>
      </c>
      <c r="F22" s="5" t="inlineStr">
        <is>
          <t>✅ 已实现</t>
        </is>
      </c>
      <c r="G22" s="4" t="inlineStr">
        <is>
          <t>node_type='里程碑节点' AND is_incomplete</t>
        </is>
      </c>
    </row>
    <row r="23" ht="22" customHeight="1">
      <c r="A23" s="2" t="n">
        <v>22</v>
      </c>
      <c r="B23" s="7" t="inlineStr">
        <is>
          <t>未完成节点</t>
        </is>
      </c>
      <c r="C23" s="4" t="inlineStr">
        <is>
          <t>截止目前未完成重大节点数</t>
        </is>
      </c>
      <c r="D23" s="4" t="inlineStr">
        <is>
          <t>biz_ads_project_incomplete_risk</t>
        </is>
      </c>
      <c r="E23" s="4" t="inlineStr">
        <is>
          <t>incomplete_major_cnt</t>
        </is>
      </c>
      <c r="F23" s="5" t="inlineStr">
        <is>
          <t>✅ 已实现</t>
        </is>
      </c>
      <c r="G23" s="4" t="inlineStr">
        <is>
          <t>node_type='重大节点' AND is_incomplete</t>
        </is>
      </c>
    </row>
    <row r="24" ht="22" customHeight="1">
      <c r="A24" s="2" t="n">
        <v>23</v>
      </c>
      <c r="B24" s="7" t="inlineStr">
        <is>
          <t>未完成节点</t>
        </is>
      </c>
      <c r="C24" s="4" t="inlineStr">
        <is>
          <t>截止目前未完成重要节点数</t>
        </is>
      </c>
      <c r="D24" s="4" t="inlineStr">
        <is>
          <t>biz_ads_project_incomplete_risk</t>
        </is>
      </c>
      <c r="E24" s="4" t="inlineStr">
        <is>
          <t>incomplete_important_cnt</t>
        </is>
      </c>
      <c r="F24" s="5" t="inlineStr">
        <is>
          <t>✅ 已实现</t>
        </is>
      </c>
      <c r="G24" s="4" t="inlineStr">
        <is>
          <t>node_type='重要节点' AND is_incomplete</t>
        </is>
      </c>
    </row>
    <row r="25" ht="22" customHeight="1">
      <c r="A25" s="2" t="n">
        <v>24</v>
      </c>
      <c r="B25" s="8" t="inlineStr">
        <is>
          <t>本周期节点</t>
        </is>
      </c>
      <c r="C25" s="4" t="inlineStr">
        <is>
          <t>里程碑节点按时完成数</t>
        </is>
      </c>
      <c r="D25" s="4" t="inlineStr">
        <is>
          <t>biz_ads_project_milestone_kpi</t>
        </is>
      </c>
      <c r="E25" s="4" t="inlineStr">
        <is>
          <t>milestone_on_time_cnt</t>
        </is>
      </c>
      <c r="F25" s="5" t="inlineStr">
        <is>
          <t>✅ 已实现</t>
        </is>
      </c>
      <c r="G25" s="4" t="inlineStr"/>
    </row>
    <row r="26" ht="22" customHeight="1">
      <c r="A26" s="2" t="n">
        <v>25</v>
      </c>
      <c r="B26" s="8" t="inlineStr">
        <is>
          <t>本周期节点</t>
        </is>
      </c>
      <c r="C26" s="4" t="inlineStr">
        <is>
          <t>里程碑节点超期完成数</t>
        </is>
      </c>
      <c r="D26" s="4" t="inlineStr">
        <is>
          <t>biz_ads_project_milestone_kpi</t>
        </is>
      </c>
      <c r="E26" s="4" t="inlineStr">
        <is>
          <t>milestone_overdue_completed_cnt</t>
        </is>
      </c>
      <c r="F26" s="5" t="inlineStr">
        <is>
          <t>✅ 已实现</t>
        </is>
      </c>
      <c r="G26" s="4" t="inlineStr"/>
    </row>
    <row r="27" ht="22" customHeight="1">
      <c r="A27" s="2" t="n">
        <v>26</v>
      </c>
      <c r="B27" s="8" t="inlineStr">
        <is>
          <t>本周期节点</t>
        </is>
      </c>
      <c r="C27" s="4" t="inlineStr">
        <is>
          <t>里程碑节点正常待完成数</t>
        </is>
      </c>
      <c r="D27" s="4" t="inlineStr">
        <is>
          <t>biz_ads_project_milestone_kpi</t>
        </is>
      </c>
      <c r="E27" s="4" t="inlineStr">
        <is>
          <t>milestone_pending_cnt</t>
        </is>
      </c>
      <c r="F27" s="5" t="inlineStr">
        <is>
          <t>✅ 已实现</t>
        </is>
      </c>
      <c r="G27" s="4" t="inlineStr"/>
    </row>
    <row r="28" ht="22" customHeight="1">
      <c r="A28" s="2" t="n">
        <v>27</v>
      </c>
      <c r="B28" s="8" t="inlineStr">
        <is>
          <t>本周期节点</t>
        </is>
      </c>
      <c r="C28" s="4" t="inlineStr">
        <is>
          <t>里程碑节点完成总百分比</t>
        </is>
      </c>
      <c r="D28" s="4" t="inlineStr">
        <is>
          <t>biz_ads_project_milestone_kpi</t>
        </is>
      </c>
      <c r="E28" s="4" t="inlineStr">
        <is>
          <t>milestone_completion_rate</t>
        </is>
      </c>
      <c r="F28" s="5" t="inlineStr">
        <is>
          <t>✅ 已实现</t>
        </is>
      </c>
      <c r="G28" s="4">
        <f> (on_time + overdue) / (on_time + overdue + incomplete)</f>
        <v/>
      </c>
    </row>
    <row r="29" ht="22" customHeight="1">
      <c r="A29" s="2" t="n">
        <v>28</v>
      </c>
      <c r="B29" s="8" t="inlineStr">
        <is>
          <t>本周期节点</t>
        </is>
      </c>
      <c r="C29" s="4" t="inlineStr">
        <is>
          <t>高风险节点数</t>
        </is>
      </c>
      <c r="D29" s="4" t="inlineStr">
        <is>
          <t>biz_ads_project_milestone_kpi</t>
        </is>
      </c>
      <c r="E29" s="4" t="inlineStr">
        <is>
          <t>high_risk_cnt</t>
        </is>
      </c>
      <c r="F29" s="5" t="inlineStr">
        <is>
          <t>✅ 已实现</t>
        </is>
      </c>
      <c r="G29" s="4" t="inlineStr"/>
    </row>
    <row r="30" ht="22" customHeight="1">
      <c r="A30" s="2" t="n">
        <v>29</v>
      </c>
      <c r="B30" s="8" t="inlineStr">
        <is>
          <t>本周期节点</t>
        </is>
      </c>
      <c r="C30" s="4" t="inlineStr">
        <is>
          <t>中风险节点数</t>
        </is>
      </c>
      <c r="D30" s="4" t="inlineStr">
        <is>
          <t>biz_ads_project_milestone_kpi</t>
        </is>
      </c>
      <c r="E30" s="4" t="inlineStr">
        <is>
          <t>mid_risk_cnt</t>
        </is>
      </c>
      <c r="F30" s="5" t="inlineStr">
        <is>
          <t>✅ 已实现</t>
        </is>
      </c>
      <c r="G30" s="4" t="inlineStr"/>
    </row>
    <row r="31" ht="22" customHeight="1">
      <c r="A31" s="2" t="n">
        <v>30</v>
      </c>
      <c r="B31" s="8" t="inlineStr">
        <is>
          <t>本周期节点</t>
        </is>
      </c>
      <c r="C31" s="4" t="inlineStr">
        <is>
          <t>里程碑节点总数</t>
        </is>
      </c>
      <c r="D31" s="4" t="inlineStr">
        <is>
          <t>biz_ads_project_milestone_kpi</t>
        </is>
      </c>
      <c r="E31" s="4" t="inlineStr">
        <is>
          <t>milestone_total_cnt</t>
        </is>
      </c>
      <c r="F31" s="5" t="inlineStr">
        <is>
          <t>✅ 已实现</t>
        </is>
      </c>
      <c r="G31" s="4" t="inlineStr"/>
    </row>
    <row r="32" ht="22" customHeight="1">
      <c r="A32" s="2" t="n">
        <v>31</v>
      </c>
      <c r="B32" s="8" t="inlineStr">
        <is>
          <t>本周期节点</t>
        </is>
      </c>
      <c r="C32" s="4" t="inlineStr">
        <is>
          <t>重大节点总数</t>
        </is>
      </c>
      <c r="D32" s="4" t="inlineStr">
        <is>
          <t>biz_ads_project_milestone_kpi</t>
        </is>
      </c>
      <c r="E32" s="4" t="inlineStr">
        <is>
          <t>major_total_cnt</t>
        </is>
      </c>
      <c r="F32" s="5" t="inlineStr">
        <is>
          <t>✅ 已实现</t>
        </is>
      </c>
      <c r="G32" s="4" t="inlineStr"/>
    </row>
    <row r="33" ht="22" customHeight="1">
      <c r="A33" s="2" t="n">
        <v>32</v>
      </c>
      <c r="B33" s="8" t="inlineStr">
        <is>
          <t>本周期节点</t>
        </is>
      </c>
      <c r="C33" s="4" t="inlineStr">
        <is>
          <t>重要节点总数</t>
        </is>
      </c>
      <c r="D33" s="4" t="inlineStr">
        <is>
          <t>biz_ads_project_milestone_kpi</t>
        </is>
      </c>
      <c r="E33" s="4" t="inlineStr">
        <is>
          <t>important_total_cnt</t>
        </is>
      </c>
      <c r="F33" s="5" t="inlineStr">
        <is>
          <t>✅ 已实现</t>
        </is>
      </c>
      <c r="G33" s="4" t="inlineStr"/>
    </row>
    <row r="34" ht="22" customHeight="1">
      <c r="A34" s="2" t="n">
        <v>33</v>
      </c>
      <c r="B34" s="8" t="inlineStr">
        <is>
          <t>本周期节点</t>
        </is>
      </c>
      <c r="C34" s="4" t="inlineStr">
        <is>
          <t>里程碑节点按时完成数</t>
        </is>
      </c>
      <c r="D34" s="4" t="inlineStr">
        <is>
          <t>biz_ads_project_milestone_kpi</t>
        </is>
      </c>
      <c r="E34" s="4" t="inlineStr">
        <is>
          <t>milestone_on_time_cnt</t>
        </is>
      </c>
      <c r="F34" s="5" t="inlineStr">
        <is>
          <t>✅ 已实现</t>
        </is>
      </c>
      <c r="G34" s="4" t="inlineStr">
        <is>
          <t>与第24条重复</t>
        </is>
      </c>
    </row>
    <row r="35" ht="22" customHeight="1">
      <c r="A35" s="2" t="n">
        <v>34</v>
      </c>
      <c r="B35" s="8" t="inlineStr">
        <is>
          <t>本周期节点</t>
        </is>
      </c>
      <c r="C35" s="4" t="inlineStr">
        <is>
          <t>里程碑节点超期完成数</t>
        </is>
      </c>
      <c r="D35" s="4" t="inlineStr">
        <is>
          <t>biz_ads_project_milestone_kpi</t>
        </is>
      </c>
      <c r="E35" s="4" t="inlineStr">
        <is>
          <t>milestone_overdue_completed_cnt</t>
        </is>
      </c>
      <c r="F35" s="5" t="inlineStr">
        <is>
          <t>✅ 已实现</t>
        </is>
      </c>
      <c r="G35" s="4" t="inlineStr">
        <is>
          <t>与第25条重复</t>
        </is>
      </c>
    </row>
    <row r="37">
      <c r="A37" s="9" t="inlineStr">
        <is>
          <t>汇总</t>
        </is>
      </c>
      <c r="C37" s="10" t="inlineStr">
        <is>
          <t>客户指标 34 条（独立指标 31 条，重复 3 条）</t>
        </is>
      </c>
      <c r="F37" s="11" t="inlineStr">
        <is>
          <t>34/34</t>
        </is>
      </c>
      <c r="G37" s="12" t="inlineStr">
        <is>
          <t>全部已实现，覆盖率 100%</t>
        </is>
      </c>
    </row>
  </sheetData>
  <autoFilter ref="A1:G3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2026-03-12T08:04:39Z</dcterms:created>
  <dcterms:modified xmlns:dcterms="http://purl.org/dc/terms/" xmlns:xsi="http://www.w3.org/2001/XMLSchema-instance" xsi:type="dcterms:W3CDTF">2026-03-12T08:04:39Z</dcterms:modified>
</cp:coreProperties>
</file>